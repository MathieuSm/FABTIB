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enisschenk/Documents/Studium/PhD/04_NODARATIS/09_Normdatabase/"/>
    </mc:Choice>
  </mc:AlternateContent>
  <xr:revisionPtr revIDLastSave="0" documentId="13_ncr:1_{A52BFB17-58E5-824D-9530-AF5F0E633AAE}" xr6:coauthVersionLast="45" xr6:coauthVersionMax="45" xr10:uidLastSave="{00000000-0000-0000-0000-000000000000}"/>
  <bookViews>
    <workbookView xWindow="0" yWindow="460" windowWidth="33600" windowHeight="20540" tabRatio="984" xr2:uid="{00000000-000D-0000-FFFF-FFFF00000000}"/>
  </bookViews>
  <sheets>
    <sheet name="UPAT_PATS_E6_148_TO_295_ALL_SIT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F174" i="1" l="1"/>
  <c r="AG174" i="1" s="1"/>
  <c r="AH174" i="1" s="1"/>
  <c r="AG173" i="1"/>
  <c r="AH173" i="1" s="1"/>
  <c r="AF173" i="1"/>
  <c r="AH172" i="1"/>
  <c r="AG172" i="1"/>
  <c r="AF172" i="1"/>
  <c r="AF171" i="1"/>
  <c r="AG171" i="1" s="1"/>
  <c r="AH171" i="1" s="1"/>
  <c r="AJ170" i="1"/>
  <c r="AL170" i="1" s="1"/>
  <c r="AN170" i="1" s="1"/>
  <c r="AI170" i="1"/>
  <c r="AK170" i="1" s="1"/>
  <c r="AM170" i="1" s="1"/>
  <c r="AF170" i="1"/>
  <c r="AG170" i="1" s="1"/>
  <c r="AH170" i="1" s="1"/>
  <c r="AK169" i="1"/>
  <c r="AM169" i="1" s="1"/>
  <c r="AJ169" i="1"/>
  <c r="AL169" i="1" s="1"/>
  <c r="AN169" i="1" s="1"/>
  <c r="AG169" i="1"/>
  <c r="AH169" i="1" s="1"/>
  <c r="AI169" i="1" s="1"/>
  <c r="AF169" i="1"/>
  <c r="AH168" i="1"/>
  <c r="AG168" i="1"/>
  <c r="AF168" i="1"/>
  <c r="AF167" i="1"/>
  <c r="AG167" i="1" s="1"/>
  <c r="AH167" i="1" s="1"/>
  <c r="AJ166" i="1"/>
  <c r="AL166" i="1" s="1"/>
  <c r="AN166" i="1" s="1"/>
  <c r="AI166" i="1"/>
  <c r="AK166" i="1" s="1"/>
  <c r="AM166" i="1" s="1"/>
  <c r="AF166" i="1"/>
  <c r="AG166" i="1" s="1"/>
  <c r="AH166" i="1" s="1"/>
  <c r="AK165" i="1"/>
  <c r="AM165" i="1" s="1"/>
  <c r="AJ165" i="1"/>
  <c r="AL165" i="1" s="1"/>
  <c r="AN165" i="1" s="1"/>
  <c r="AG165" i="1"/>
  <c r="AH165" i="1" s="1"/>
  <c r="AI165" i="1" s="1"/>
  <c r="AF165" i="1"/>
  <c r="AH164" i="1"/>
  <c r="AG164" i="1"/>
  <c r="AF164" i="1"/>
  <c r="AF163" i="1"/>
  <c r="AG163" i="1" s="1"/>
  <c r="AH163" i="1" s="1"/>
  <c r="AJ162" i="1"/>
  <c r="AL162" i="1" s="1"/>
  <c r="AN162" i="1" s="1"/>
  <c r="AI162" i="1"/>
  <c r="AK162" i="1" s="1"/>
  <c r="AM162" i="1" s="1"/>
  <c r="AF162" i="1"/>
  <c r="AG162" i="1" s="1"/>
  <c r="AH162" i="1" s="1"/>
  <c r="AK161" i="1"/>
  <c r="AM161" i="1" s="1"/>
  <c r="AJ161" i="1"/>
  <c r="AL161" i="1" s="1"/>
  <c r="AN161" i="1" s="1"/>
  <c r="AG161" i="1"/>
  <c r="AH161" i="1" s="1"/>
  <c r="AI161" i="1" s="1"/>
  <c r="AF161" i="1"/>
  <c r="AH160" i="1"/>
  <c r="AG160" i="1"/>
  <c r="AF160" i="1"/>
  <c r="AH159" i="1"/>
  <c r="AJ159" i="1" s="1"/>
  <c r="AL159" i="1" s="1"/>
  <c r="AN159" i="1" s="1"/>
  <c r="AG159" i="1"/>
  <c r="AF159" i="1"/>
  <c r="AF158" i="1"/>
  <c r="AG158" i="1" s="1"/>
  <c r="AH158" i="1" s="1"/>
  <c r="AF157" i="1"/>
  <c r="AG157" i="1" s="1"/>
  <c r="AH157" i="1" s="1"/>
  <c r="AI157" i="1" s="1"/>
  <c r="AK157" i="1" s="1"/>
  <c r="AM157" i="1" s="1"/>
  <c r="AH156" i="1"/>
  <c r="AG156" i="1"/>
  <c r="AF156" i="1"/>
  <c r="AG155" i="1"/>
  <c r="AH155" i="1" s="1"/>
  <c r="AF155" i="1"/>
  <c r="AF154" i="1"/>
  <c r="AG154" i="1" s="1"/>
  <c r="AH154" i="1" s="1"/>
  <c r="AJ153" i="1"/>
  <c r="AL153" i="1" s="1"/>
  <c r="AN153" i="1" s="1"/>
  <c r="AF153" i="1"/>
  <c r="AG153" i="1" s="1"/>
  <c r="AH153" i="1" s="1"/>
  <c r="AI153" i="1" s="1"/>
  <c r="AK153" i="1" s="1"/>
  <c r="AM153" i="1" s="1"/>
  <c r="AH152" i="1"/>
  <c r="AG152" i="1"/>
  <c r="AF152" i="1"/>
  <c r="AG151" i="1"/>
  <c r="AH151" i="1" s="1"/>
  <c r="AF151" i="1"/>
  <c r="AF150" i="1"/>
  <c r="AG150" i="1" s="1"/>
  <c r="AH150" i="1" s="1"/>
  <c r="AF149" i="1"/>
  <c r="AG149" i="1" s="1"/>
  <c r="AH149" i="1" s="1"/>
  <c r="AI149" i="1" s="1"/>
  <c r="AK149" i="1" s="1"/>
  <c r="AM149" i="1" s="1"/>
  <c r="AH148" i="1"/>
  <c r="AG148" i="1"/>
  <c r="AF148" i="1"/>
  <c r="AG147" i="1"/>
  <c r="AH147" i="1" s="1"/>
  <c r="AF147" i="1"/>
  <c r="AF146" i="1"/>
  <c r="AG146" i="1" s="1"/>
  <c r="AH146" i="1" s="1"/>
  <c r="AF145" i="1"/>
  <c r="AG145" i="1" s="1"/>
  <c r="AH145" i="1" s="1"/>
  <c r="AH144" i="1"/>
  <c r="AG144" i="1"/>
  <c r="AF144" i="1"/>
  <c r="AG143" i="1"/>
  <c r="AH143" i="1" s="1"/>
  <c r="AF143" i="1"/>
  <c r="AF142" i="1"/>
  <c r="AG142" i="1" s="1"/>
  <c r="AH142" i="1" s="1"/>
  <c r="AF141" i="1"/>
  <c r="AG141" i="1" s="1"/>
  <c r="AH141" i="1" s="1"/>
  <c r="AI141" i="1" s="1"/>
  <c r="AK141" i="1" s="1"/>
  <c r="AM141" i="1" s="1"/>
  <c r="AH140" i="1"/>
  <c r="AG140" i="1"/>
  <c r="AF140" i="1"/>
  <c r="AG139" i="1"/>
  <c r="AH139" i="1" s="1"/>
  <c r="AF139" i="1"/>
  <c r="AF138" i="1"/>
  <c r="AG138" i="1" s="1"/>
  <c r="AH138" i="1" s="1"/>
  <c r="AJ137" i="1"/>
  <c r="AL137" i="1" s="1"/>
  <c r="AN137" i="1" s="1"/>
  <c r="AF137" i="1"/>
  <c r="AG137" i="1" s="1"/>
  <c r="AH137" i="1" s="1"/>
  <c r="AI137" i="1" s="1"/>
  <c r="AK137" i="1" s="1"/>
  <c r="AM137" i="1" s="1"/>
  <c r="AH136" i="1"/>
  <c r="AG136" i="1"/>
  <c r="AF136" i="1"/>
  <c r="AG135" i="1"/>
  <c r="AH135" i="1" s="1"/>
  <c r="AF135" i="1"/>
  <c r="AF134" i="1"/>
  <c r="AG134" i="1" s="1"/>
  <c r="AH134" i="1" s="1"/>
  <c r="AF133" i="1"/>
  <c r="AG133" i="1" s="1"/>
  <c r="AH133" i="1" s="1"/>
  <c r="AI133" i="1" s="1"/>
  <c r="AK133" i="1" s="1"/>
  <c r="AM133" i="1" s="1"/>
  <c r="AF132" i="1"/>
  <c r="AG132" i="1" s="1"/>
  <c r="AH132" i="1" s="1"/>
  <c r="AG131" i="1"/>
  <c r="AH131" i="1" s="1"/>
  <c r="AF131" i="1"/>
  <c r="AH130" i="1"/>
  <c r="AF130" i="1"/>
  <c r="AG130" i="1" s="1"/>
  <c r="AF129" i="1"/>
  <c r="AG129" i="1" s="1"/>
  <c r="AH129" i="1" s="1"/>
  <c r="AF128" i="1"/>
  <c r="AG128" i="1" s="1"/>
  <c r="AH128" i="1" s="1"/>
  <c r="AG127" i="1"/>
  <c r="AH127" i="1" s="1"/>
  <c r="AF127" i="1"/>
  <c r="AH126" i="1"/>
  <c r="AF126" i="1"/>
  <c r="AG126" i="1" s="1"/>
  <c r="AI125" i="1"/>
  <c r="AK125" i="1" s="1"/>
  <c r="AM125" i="1" s="1"/>
  <c r="AF125" i="1"/>
  <c r="AG125" i="1" s="1"/>
  <c r="AH125" i="1" s="1"/>
  <c r="AJ125" i="1" s="1"/>
  <c r="AL125" i="1" s="1"/>
  <c r="AN125" i="1" s="1"/>
  <c r="AF124" i="1"/>
  <c r="AG124" i="1" s="1"/>
  <c r="AH124" i="1" s="1"/>
  <c r="AG123" i="1"/>
  <c r="AH123" i="1" s="1"/>
  <c r="AF123" i="1"/>
  <c r="AH122" i="1"/>
  <c r="AF122" i="1"/>
  <c r="AG122" i="1" s="1"/>
  <c r="AG121" i="1"/>
  <c r="AH121" i="1" s="1"/>
  <c r="AJ121" i="1" s="1"/>
  <c r="AL121" i="1" s="1"/>
  <c r="AN121" i="1" s="1"/>
  <c r="AF121" i="1"/>
  <c r="AJ120" i="1"/>
  <c r="AL120" i="1" s="1"/>
  <c r="AN120" i="1" s="1"/>
  <c r="AF120" i="1"/>
  <c r="AG120" i="1" s="1"/>
  <c r="AH120" i="1" s="1"/>
  <c r="AI120" i="1" s="1"/>
  <c r="AK120" i="1" s="1"/>
  <c r="AM120" i="1" s="1"/>
  <c r="AG119" i="1"/>
  <c r="AH119" i="1" s="1"/>
  <c r="AF119" i="1"/>
  <c r="AF118" i="1"/>
  <c r="AG118" i="1" s="1"/>
  <c r="AH118" i="1" s="1"/>
  <c r="AI117" i="1"/>
  <c r="AK117" i="1" s="1"/>
  <c r="AM117" i="1" s="1"/>
  <c r="AG117" i="1"/>
  <c r="AH117" i="1" s="1"/>
  <c r="AJ117" i="1" s="1"/>
  <c r="AL117" i="1" s="1"/>
  <c r="AN117" i="1" s="1"/>
  <c r="AF117" i="1"/>
  <c r="AJ116" i="1"/>
  <c r="AL116" i="1" s="1"/>
  <c r="AN116" i="1" s="1"/>
  <c r="AF116" i="1"/>
  <c r="AG116" i="1" s="1"/>
  <c r="AH116" i="1" s="1"/>
  <c r="AI116" i="1" s="1"/>
  <c r="AK116" i="1" s="1"/>
  <c r="AM116" i="1" s="1"/>
  <c r="AG115" i="1"/>
  <c r="AH115" i="1" s="1"/>
  <c r="AF115" i="1"/>
  <c r="AH114" i="1"/>
  <c r="AF114" i="1"/>
  <c r="AG114" i="1" s="1"/>
  <c r="AI113" i="1"/>
  <c r="AK113" i="1" s="1"/>
  <c r="AM113" i="1" s="1"/>
  <c r="AF113" i="1"/>
  <c r="AG113" i="1" s="1"/>
  <c r="AH113" i="1" s="1"/>
  <c r="AJ113" i="1" s="1"/>
  <c r="AL113" i="1" s="1"/>
  <c r="AN113" i="1" s="1"/>
  <c r="AF112" i="1"/>
  <c r="AG112" i="1" s="1"/>
  <c r="AH112" i="1" s="1"/>
  <c r="AJ112" i="1" s="1"/>
  <c r="AL112" i="1" s="1"/>
  <c r="AN112" i="1" s="1"/>
  <c r="AF111" i="1"/>
  <c r="AG111" i="1" s="1"/>
  <c r="AH111" i="1" s="1"/>
  <c r="AG110" i="1"/>
  <c r="AH110" i="1" s="1"/>
  <c r="AF110" i="1"/>
  <c r="AI109" i="1"/>
  <c r="AK109" i="1" s="1"/>
  <c r="AM109" i="1" s="1"/>
  <c r="AF109" i="1"/>
  <c r="AG109" i="1" s="1"/>
  <c r="AH109" i="1" s="1"/>
  <c r="AJ109" i="1" s="1"/>
  <c r="AL109" i="1" s="1"/>
  <c r="AN109" i="1" s="1"/>
  <c r="AF108" i="1"/>
  <c r="AG108" i="1" s="1"/>
  <c r="AH108" i="1" s="1"/>
  <c r="AJ108" i="1" s="1"/>
  <c r="AL108" i="1" s="1"/>
  <c r="AN108" i="1" s="1"/>
  <c r="AF107" i="1"/>
  <c r="AG107" i="1" s="1"/>
  <c r="AH107" i="1" s="1"/>
  <c r="AG106" i="1"/>
  <c r="AH106" i="1" s="1"/>
  <c r="AF106" i="1"/>
  <c r="AI105" i="1"/>
  <c r="AK105" i="1" s="1"/>
  <c r="AM105" i="1" s="1"/>
  <c r="AF105" i="1"/>
  <c r="AG105" i="1" s="1"/>
  <c r="AH105" i="1" s="1"/>
  <c r="AJ105" i="1" s="1"/>
  <c r="AL105" i="1" s="1"/>
  <c r="AN105" i="1" s="1"/>
  <c r="AF104" i="1"/>
  <c r="AG104" i="1" s="1"/>
  <c r="AH104" i="1" s="1"/>
  <c r="AJ104" i="1" s="1"/>
  <c r="AL104" i="1" s="1"/>
  <c r="AN104" i="1" s="1"/>
  <c r="AF103" i="1"/>
  <c r="AG103" i="1" s="1"/>
  <c r="AH103" i="1" s="1"/>
  <c r="AG102" i="1"/>
  <c r="AH102" i="1" s="1"/>
  <c r="AF102" i="1"/>
  <c r="AI101" i="1"/>
  <c r="AK101" i="1" s="1"/>
  <c r="AM101" i="1" s="1"/>
  <c r="AF101" i="1"/>
  <c r="AG101" i="1" s="1"/>
  <c r="AH101" i="1" s="1"/>
  <c r="AJ101" i="1" s="1"/>
  <c r="AL101" i="1" s="1"/>
  <c r="AN101" i="1" s="1"/>
  <c r="AF100" i="1"/>
  <c r="AG100" i="1" s="1"/>
  <c r="AH100" i="1" s="1"/>
  <c r="AJ100" i="1" s="1"/>
  <c r="AL100" i="1" s="1"/>
  <c r="AN100" i="1" s="1"/>
  <c r="AF99" i="1"/>
  <c r="AG99" i="1" s="1"/>
  <c r="AH99" i="1" s="1"/>
  <c r="AG98" i="1"/>
  <c r="AH98" i="1" s="1"/>
  <c r="AF98" i="1"/>
  <c r="AF97" i="1"/>
  <c r="AG97" i="1" s="1"/>
  <c r="AH97" i="1" s="1"/>
  <c r="AJ97" i="1" s="1"/>
  <c r="AL97" i="1" s="1"/>
  <c r="AN97" i="1" s="1"/>
  <c r="AF96" i="1"/>
  <c r="AG96" i="1" s="1"/>
  <c r="AH96" i="1" s="1"/>
  <c r="AJ96" i="1" s="1"/>
  <c r="AL96" i="1" s="1"/>
  <c r="AN96" i="1" s="1"/>
  <c r="AF95" i="1"/>
  <c r="AG95" i="1" s="1"/>
  <c r="AH95" i="1" s="1"/>
  <c r="AG94" i="1"/>
  <c r="AH94" i="1" s="1"/>
  <c r="AF94" i="1"/>
  <c r="AF93" i="1"/>
  <c r="AG93" i="1" s="1"/>
  <c r="AH93" i="1" s="1"/>
  <c r="AJ93" i="1" s="1"/>
  <c r="AL93" i="1" s="1"/>
  <c r="AN93" i="1" s="1"/>
  <c r="AF92" i="1"/>
  <c r="AG92" i="1" s="1"/>
  <c r="AH92" i="1" s="1"/>
  <c r="AJ92" i="1" s="1"/>
  <c r="AL92" i="1" s="1"/>
  <c r="AN92" i="1" s="1"/>
  <c r="AF91" i="1"/>
  <c r="AG91" i="1" s="1"/>
  <c r="AH91" i="1" s="1"/>
  <c r="AG90" i="1"/>
  <c r="AH90" i="1" s="1"/>
  <c r="AF90" i="1"/>
  <c r="AF89" i="1"/>
  <c r="AG89" i="1" s="1"/>
  <c r="AH89" i="1" s="1"/>
  <c r="AJ89" i="1" s="1"/>
  <c r="AL89" i="1" s="1"/>
  <c r="AN89" i="1" s="1"/>
  <c r="AF88" i="1"/>
  <c r="AG88" i="1" s="1"/>
  <c r="AH88" i="1" s="1"/>
  <c r="AJ88" i="1" s="1"/>
  <c r="AL88" i="1" s="1"/>
  <c r="AN88" i="1" s="1"/>
  <c r="AF87" i="1"/>
  <c r="AG87" i="1" s="1"/>
  <c r="AH87" i="1" s="1"/>
  <c r="AG86" i="1"/>
  <c r="AH86" i="1" s="1"/>
  <c r="AJ86" i="1" s="1"/>
  <c r="AL86" i="1" s="1"/>
  <c r="AN86" i="1" s="1"/>
  <c r="AF86" i="1"/>
  <c r="AN85" i="1"/>
  <c r="AF85" i="1"/>
  <c r="AG85" i="1" s="1"/>
  <c r="AH85" i="1" s="1"/>
  <c r="AJ85" i="1" s="1"/>
  <c r="AL85" i="1" s="1"/>
  <c r="AI84" i="1"/>
  <c r="AK84" i="1" s="1"/>
  <c r="AM84" i="1" s="1"/>
  <c r="AG84" i="1"/>
  <c r="AH84" i="1" s="1"/>
  <c r="AJ84" i="1" s="1"/>
  <c r="AL84" i="1" s="1"/>
  <c r="AN84" i="1" s="1"/>
  <c r="AF84" i="1"/>
  <c r="AF83" i="1"/>
  <c r="AG83" i="1" s="1"/>
  <c r="AH83" i="1" s="1"/>
  <c r="AI82" i="1"/>
  <c r="AK82" i="1" s="1"/>
  <c r="AM82" i="1" s="1"/>
  <c r="AG82" i="1"/>
  <c r="AH82" i="1" s="1"/>
  <c r="AJ82" i="1" s="1"/>
  <c r="AL82" i="1" s="1"/>
  <c r="AN82" i="1" s="1"/>
  <c r="AF82" i="1"/>
  <c r="AJ81" i="1"/>
  <c r="AL81" i="1" s="1"/>
  <c r="AN81" i="1" s="1"/>
  <c r="AF81" i="1"/>
  <c r="AG81" i="1" s="1"/>
  <c r="AH81" i="1" s="1"/>
  <c r="AI81" i="1" s="1"/>
  <c r="AK81" i="1" s="1"/>
  <c r="AM81" i="1" s="1"/>
  <c r="AG80" i="1"/>
  <c r="AH80" i="1" s="1"/>
  <c r="AJ80" i="1" s="1"/>
  <c r="AL80" i="1" s="1"/>
  <c r="AN80" i="1" s="1"/>
  <c r="AF80" i="1"/>
  <c r="AF79" i="1"/>
  <c r="AG79" i="1" s="1"/>
  <c r="AH79" i="1" s="1"/>
  <c r="AI78" i="1"/>
  <c r="AK78" i="1" s="1"/>
  <c r="AM78" i="1" s="1"/>
  <c r="AF78" i="1"/>
  <c r="AG78" i="1" s="1"/>
  <c r="AH78" i="1" s="1"/>
  <c r="AJ78" i="1" s="1"/>
  <c r="AL78" i="1" s="1"/>
  <c r="AN78" i="1" s="1"/>
  <c r="AF77" i="1"/>
  <c r="AG77" i="1" s="1"/>
  <c r="AH77" i="1" s="1"/>
  <c r="AG76" i="1"/>
  <c r="AH76" i="1" s="1"/>
  <c r="AF76" i="1"/>
  <c r="AF75" i="1"/>
  <c r="AG75" i="1" s="1"/>
  <c r="AH75" i="1" s="1"/>
  <c r="AI74" i="1"/>
  <c r="AK74" i="1" s="1"/>
  <c r="AM74" i="1" s="1"/>
  <c r="AF74" i="1"/>
  <c r="AG74" i="1" s="1"/>
  <c r="AH74" i="1" s="1"/>
  <c r="AJ74" i="1" s="1"/>
  <c r="AL74" i="1" s="1"/>
  <c r="AN74" i="1" s="1"/>
  <c r="AF73" i="1"/>
  <c r="AG73" i="1" s="1"/>
  <c r="AH73" i="1" s="1"/>
  <c r="AG72" i="1"/>
  <c r="AH72" i="1" s="1"/>
  <c r="AF72" i="1"/>
  <c r="AF71" i="1"/>
  <c r="AG71" i="1" s="1"/>
  <c r="AH71" i="1" s="1"/>
  <c r="AI70" i="1"/>
  <c r="AK70" i="1" s="1"/>
  <c r="AM70" i="1" s="1"/>
  <c r="AF70" i="1"/>
  <c r="AG70" i="1" s="1"/>
  <c r="AH70" i="1" s="1"/>
  <c r="AJ70" i="1" s="1"/>
  <c r="AL70" i="1" s="1"/>
  <c r="AN70" i="1" s="1"/>
  <c r="AF69" i="1"/>
  <c r="AG69" i="1" s="1"/>
  <c r="AH69" i="1" s="1"/>
  <c r="AG68" i="1"/>
  <c r="AH68" i="1" s="1"/>
  <c r="AF68" i="1"/>
  <c r="AF67" i="1"/>
  <c r="AG67" i="1" s="1"/>
  <c r="AH67" i="1" s="1"/>
  <c r="AI66" i="1"/>
  <c r="AK66" i="1" s="1"/>
  <c r="AM66" i="1" s="1"/>
  <c r="AF66" i="1"/>
  <c r="AG66" i="1" s="1"/>
  <c r="AH66" i="1" s="1"/>
  <c r="AJ66" i="1" s="1"/>
  <c r="AL66" i="1" s="1"/>
  <c r="AN66" i="1" s="1"/>
  <c r="AF65" i="1"/>
  <c r="AG65" i="1" s="1"/>
  <c r="AH65" i="1" s="1"/>
  <c r="AG64" i="1"/>
  <c r="AH64" i="1" s="1"/>
  <c r="AF64" i="1"/>
  <c r="AF63" i="1"/>
  <c r="AG63" i="1" s="1"/>
  <c r="AH63" i="1" s="1"/>
  <c r="AI62" i="1"/>
  <c r="AK62" i="1" s="1"/>
  <c r="AM62" i="1" s="1"/>
  <c r="AF62" i="1"/>
  <c r="AG62" i="1" s="1"/>
  <c r="AH62" i="1" s="1"/>
  <c r="AJ62" i="1" s="1"/>
  <c r="AL62" i="1" s="1"/>
  <c r="AN62" i="1" s="1"/>
  <c r="AF61" i="1"/>
  <c r="AG61" i="1" s="1"/>
  <c r="AH61" i="1" s="1"/>
  <c r="AG60" i="1"/>
  <c r="AH60" i="1" s="1"/>
  <c r="AF60" i="1"/>
  <c r="AF59" i="1"/>
  <c r="AG59" i="1" s="1"/>
  <c r="AH59" i="1" s="1"/>
  <c r="AI58" i="1"/>
  <c r="AK58" i="1" s="1"/>
  <c r="AM58" i="1" s="1"/>
  <c r="AF58" i="1"/>
  <c r="AG58" i="1" s="1"/>
  <c r="AH58" i="1" s="1"/>
  <c r="AJ58" i="1" s="1"/>
  <c r="AL58" i="1" s="1"/>
  <c r="AN58" i="1" s="1"/>
  <c r="AF57" i="1"/>
  <c r="AG57" i="1" s="1"/>
  <c r="AH57" i="1" s="1"/>
  <c r="AG56" i="1"/>
  <c r="AH56" i="1" s="1"/>
  <c r="AF56" i="1"/>
  <c r="AF55" i="1"/>
  <c r="AG55" i="1" s="1"/>
  <c r="AH55" i="1" s="1"/>
  <c r="AI54" i="1"/>
  <c r="AK54" i="1" s="1"/>
  <c r="AM54" i="1" s="1"/>
  <c r="AF54" i="1"/>
  <c r="AG54" i="1" s="1"/>
  <c r="AH54" i="1" s="1"/>
  <c r="AJ54" i="1" s="1"/>
  <c r="AL54" i="1" s="1"/>
  <c r="AN54" i="1" s="1"/>
  <c r="AF53" i="1"/>
  <c r="AG53" i="1" s="1"/>
  <c r="AH53" i="1" s="1"/>
  <c r="AG52" i="1"/>
  <c r="AH52" i="1" s="1"/>
  <c r="AF52" i="1"/>
  <c r="AF51" i="1"/>
  <c r="AG51" i="1" s="1"/>
  <c r="AH51" i="1" s="1"/>
  <c r="AI50" i="1"/>
  <c r="AK50" i="1" s="1"/>
  <c r="AM50" i="1" s="1"/>
  <c r="AF50" i="1"/>
  <c r="AG50" i="1" s="1"/>
  <c r="AH50" i="1" s="1"/>
  <c r="AJ50" i="1" s="1"/>
  <c r="AL50" i="1" s="1"/>
  <c r="AN50" i="1" s="1"/>
  <c r="AJ49" i="1"/>
  <c r="AL49" i="1" s="1"/>
  <c r="AN49" i="1" s="1"/>
  <c r="AG49" i="1"/>
  <c r="AH49" i="1" s="1"/>
  <c r="AI49" i="1" s="1"/>
  <c r="AK49" i="1" s="1"/>
  <c r="AM49" i="1" s="1"/>
  <c r="AF49" i="1"/>
  <c r="AH48" i="1"/>
  <c r="AG48" i="1"/>
  <c r="AF48" i="1"/>
  <c r="AM47" i="1"/>
  <c r="AL47" i="1"/>
  <c r="AN47" i="1" s="1"/>
  <c r="AI47" i="1"/>
  <c r="AK47" i="1" s="1"/>
  <c r="AH47" i="1"/>
  <c r="AJ47" i="1" s="1"/>
  <c r="AG47" i="1"/>
  <c r="AF47" i="1"/>
  <c r="AJ46" i="1"/>
  <c r="AL46" i="1" s="1"/>
  <c r="AN46" i="1" s="1"/>
  <c r="AF46" i="1"/>
  <c r="AG46" i="1" s="1"/>
  <c r="AH46" i="1" s="1"/>
  <c r="AI46" i="1" s="1"/>
  <c r="AK46" i="1" s="1"/>
  <c r="AM46" i="1" s="1"/>
  <c r="AK45" i="1"/>
  <c r="AM45" i="1" s="1"/>
  <c r="AG45" i="1"/>
  <c r="AH45" i="1" s="1"/>
  <c r="AI45" i="1" s="1"/>
  <c r="AF45" i="1"/>
  <c r="AH44" i="1"/>
  <c r="AG44" i="1"/>
  <c r="AF44" i="1"/>
  <c r="AH43" i="1"/>
  <c r="AJ43" i="1" s="1"/>
  <c r="AL43" i="1" s="1"/>
  <c r="AN43" i="1" s="1"/>
  <c r="AG43" i="1"/>
  <c r="AF43" i="1"/>
  <c r="AM42" i="1"/>
  <c r="AJ42" i="1"/>
  <c r="AL42" i="1" s="1"/>
  <c r="AN42" i="1" s="1"/>
  <c r="AI42" i="1"/>
  <c r="AK42" i="1" s="1"/>
  <c r="AF42" i="1"/>
  <c r="AG42" i="1" s="1"/>
  <c r="AH42" i="1" s="1"/>
  <c r="AF41" i="1"/>
  <c r="AG41" i="1" s="1"/>
  <c r="AH41" i="1" s="1"/>
  <c r="AG40" i="1"/>
  <c r="AH40" i="1" s="1"/>
  <c r="AF40" i="1"/>
  <c r="AI39" i="1"/>
  <c r="AK39" i="1" s="1"/>
  <c r="AM39" i="1" s="1"/>
  <c r="AH39" i="1"/>
  <c r="AJ39" i="1" s="1"/>
  <c r="AL39" i="1" s="1"/>
  <c r="AN39" i="1" s="1"/>
  <c r="AG39" i="1"/>
  <c r="AF39" i="1"/>
  <c r="AF38" i="1"/>
  <c r="AG38" i="1" s="1"/>
  <c r="AH38" i="1" s="1"/>
  <c r="AI38" i="1" s="1"/>
  <c r="AK38" i="1" s="1"/>
  <c r="AM38" i="1" s="1"/>
  <c r="AG37" i="1"/>
  <c r="AH37" i="1" s="1"/>
  <c r="AI37" i="1" s="1"/>
  <c r="AK37" i="1" s="1"/>
  <c r="AM37" i="1" s="1"/>
  <c r="AF37" i="1"/>
  <c r="AH36" i="1"/>
  <c r="AG36" i="1"/>
  <c r="AF36" i="1"/>
  <c r="AL35" i="1"/>
  <c r="AN35" i="1" s="1"/>
  <c r="AI35" i="1"/>
  <c r="AK35" i="1" s="1"/>
  <c r="AM35" i="1" s="1"/>
  <c r="AH35" i="1"/>
  <c r="AJ35" i="1" s="1"/>
  <c r="AG35" i="1"/>
  <c r="AF35" i="1"/>
  <c r="AI34" i="1"/>
  <c r="AK34" i="1" s="1"/>
  <c r="AM34" i="1" s="1"/>
  <c r="AF34" i="1"/>
  <c r="AG34" i="1" s="1"/>
  <c r="AH34" i="1" s="1"/>
  <c r="AJ34" i="1" s="1"/>
  <c r="AL34" i="1" s="1"/>
  <c r="AN34" i="1" s="1"/>
  <c r="AJ33" i="1"/>
  <c r="AL33" i="1" s="1"/>
  <c r="AN33" i="1" s="1"/>
  <c r="AG33" i="1"/>
  <c r="AH33" i="1" s="1"/>
  <c r="AI33" i="1" s="1"/>
  <c r="AK33" i="1" s="1"/>
  <c r="AM33" i="1" s="1"/>
  <c r="AF33" i="1"/>
  <c r="AH32" i="1"/>
  <c r="AG32" i="1"/>
  <c r="AF32" i="1"/>
  <c r="AM31" i="1"/>
  <c r="AL31" i="1"/>
  <c r="AN31" i="1" s="1"/>
  <c r="AI31" i="1"/>
  <c r="AK31" i="1" s="1"/>
  <c r="AH31" i="1"/>
  <c r="AJ31" i="1" s="1"/>
  <c r="AG31" i="1"/>
  <c r="AF31" i="1"/>
  <c r="AJ30" i="1"/>
  <c r="AL30" i="1" s="1"/>
  <c r="AN30" i="1" s="1"/>
  <c r="AI30" i="1"/>
  <c r="AK30" i="1" s="1"/>
  <c r="AM30" i="1" s="1"/>
  <c r="AF30" i="1"/>
  <c r="AG30" i="1" s="1"/>
  <c r="AH30" i="1" s="1"/>
  <c r="AK29" i="1"/>
  <c r="AM29" i="1" s="1"/>
  <c r="AJ29" i="1"/>
  <c r="AL29" i="1" s="1"/>
  <c r="AN29" i="1" s="1"/>
  <c r="AG29" i="1"/>
  <c r="AH29" i="1" s="1"/>
  <c r="AI29" i="1" s="1"/>
  <c r="AF29" i="1"/>
  <c r="AH28" i="1"/>
  <c r="AG28" i="1"/>
  <c r="AF28" i="1"/>
  <c r="AH27" i="1"/>
  <c r="AJ27" i="1" s="1"/>
  <c r="AL27" i="1" s="1"/>
  <c r="AN27" i="1" s="1"/>
  <c r="AG27" i="1"/>
  <c r="AF27" i="1"/>
  <c r="AM26" i="1"/>
  <c r="AJ26" i="1"/>
  <c r="AL26" i="1" s="1"/>
  <c r="AN26" i="1" s="1"/>
  <c r="AI26" i="1"/>
  <c r="AK26" i="1" s="1"/>
  <c r="AF26" i="1"/>
  <c r="AG26" i="1" s="1"/>
  <c r="AH26" i="1" s="1"/>
  <c r="AF25" i="1"/>
  <c r="AG25" i="1" s="1"/>
  <c r="AH25" i="1" s="1"/>
  <c r="AG24" i="1"/>
  <c r="AH24" i="1" s="1"/>
  <c r="AF24" i="1"/>
  <c r="AH23" i="1"/>
  <c r="AJ23" i="1" s="1"/>
  <c r="AL23" i="1" s="1"/>
  <c r="AN23" i="1" s="1"/>
  <c r="AG23" i="1"/>
  <c r="AF23" i="1"/>
  <c r="AF22" i="1"/>
  <c r="AG22" i="1" s="1"/>
  <c r="AH22" i="1" s="1"/>
  <c r="AI22" i="1" s="1"/>
  <c r="AK22" i="1" s="1"/>
  <c r="AM22" i="1" s="1"/>
  <c r="AF21" i="1"/>
  <c r="AG21" i="1" s="1"/>
  <c r="AH21" i="1" s="1"/>
  <c r="AG20" i="1"/>
  <c r="AH20" i="1" s="1"/>
  <c r="AF20" i="1"/>
  <c r="AL19" i="1"/>
  <c r="AN19" i="1" s="1"/>
  <c r="AI19" i="1"/>
  <c r="AK19" i="1" s="1"/>
  <c r="AM19" i="1" s="1"/>
  <c r="AH19" i="1"/>
  <c r="AJ19" i="1" s="1"/>
  <c r="AG19" i="1"/>
  <c r="AF19" i="1"/>
  <c r="AF18" i="1"/>
  <c r="AG18" i="1" s="1"/>
  <c r="AH18" i="1" s="1"/>
  <c r="AJ18" i="1" s="1"/>
  <c r="AL18" i="1" s="1"/>
  <c r="AN18" i="1" s="1"/>
  <c r="AF17" i="1"/>
  <c r="AG17" i="1" s="1"/>
  <c r="AH17" i="1" s="1"/>
  <c r="AG16" i="1"/>
  <c r="AH16" i="1" s="1"/>
  <c r="AF16" i="1"/>
  <c r="AH15" i="1"/>
  <c r="AJ15" i="1" s="1"/>
  <c r="AL15" i="1" s="1"/>
  <c r="AN15" i="1" s="1"/>
  <c r="AG15" i="1"/>
  <c r="AF15" i="1"/>
  <c r="AF14" i="1"/>
  <c r="AG14" i="1" s="1"/>
  <c r="AH14" i="1" s="1"/>
  <c r="AF13" i="1"/>
  <c r="AG13" i="1" s="1"/>
  <c r="AH13" i="1" s="1"/>
  <c r="AG12" i="1"/>
  <c r="AH12" i="1" s="1"/>
  <c r="AF12" i="1"/>
  <c r="AH11" i="1"/>
  <c r="AJ11" i="1" s="1"/>
  <c r="AL11" i="1" s="1"/>
  <c r="AN11" i="1" s="1"/>
  <c r="AG11" i="1"/>
  <c r="AF11" i="1"/>
  <c r="AF10" i="1"/>
  <c r="AG10" i="1" s="1"/>
  <c r="AH10" i="1" s="1"/>
  <c r="AF9" i="1"/>
  <c r="AG9" i="1" s="1"/>
  <c r="AH9" i="1" s="1"/>
  <c r="AG8" i="1"/>
  <c r="AH8" i="1" s="1"/>
  <c r="AF8" i="1"/>
  <c r="AH7" i="1"/>
  <c r="AJ7" i="1" s="1"/>
  <c r="AL7" i="1" s="1"/>
  <c r="AN7" i="1" s="1"/>
  <c r="AG7" i="1"/>
  <c r="AF7" i="1"/>
  <c r="AF6" i="1"/>
  <c r="AG6" i="1" s="1"/>
  <c r="AH6" i="1" s="1"/>
  <c r="AF5" i="1"/>
  <c r="AG5" i="1" s="1"/>
  <c r="AH5" i="1" s="1"/>
  <c r="AG4" i="1"/>
  <c r="AH4" i="1" s="1"/>
  <c r="AF4" i="1"/>
  <c r="AH3" i="1"/>
  <c r="AJ3" i="1" s="1"/>
  <c r="AG3" i="1"/>
  <c r="AF3" i="1"/>
  <c r="AJ6" i="1" l="1"/>
  <c r="AL6" i="1" s="1"/>
  <c r="AN6" i="1" s="1"/>
  <c r="AI6" i="1"/>
  <c r="AK6" i="1" s="1"/>
  <c r="AM6" i="1" s="1"/>
  <c r="AJ20" i="1"/>
  <c r="AL20" i="1" s="1"/>
  <c r="AN20" i="1" s="1"/>
  <c r="AI20" i="1"/>
  <c r="AK20" i="1" s="1"/>
  <c r="AM20" i="1" s="1"/>
  <c r="AI57" i="1"/>
  <c r="AK57" i="1" s="1"/>
  <c r="AM57" i="1" s="1"/>
  <c r="AJ57" i="1"/>
  <c r="AL57" i="1" s="1"/>
  <c r="AN57" i="1" s="1"/>
  <c r="AI73" i="1"/>
  <c r="AK73" i="1" s="1"/>
  <c r="AM73" i="1" s="1"/>
  <c r="AJ73" i="1"/>
  <c r="AL73" i="1" s="1"/>
  <c r="AN73" i="1" s="1"/>
  <c r="AJ13" i="1"/>
  <c r="AL13" i="1" s="1"/>
  <c r="AN13" i="1" s="1"/>
  <c r="AI13" i="1"/>
  <c r="AK13" i="1" s="1"/>
  <c r="AM13" i="1" s="1"/>
  <c r="AJ55" i="1"/>
  <c r="AL55" i="1" s="1"/>
  <c r="AN55" i="1" s="1"/>
  <c r="AI55" i="1"/>
  <c r="AK55" i="1" s="1"/>
  <c r="AM55" i="1" s="1"/>
  <c r="AJ63" i="1"/>
  <c r="AL63" i="1" s="1"/>
  <c r="AN63" i="1" s="1"/>
  <c r="AI63" i="1"/>
  <c r="AK63" i="1" s="1"/>
  <c r="AM63" i="1" s="1"/>
  <c r="AJ79" i="1"/>
  <c r="AL79" i="1" s="1"/>
  <c r="AN79" i="1" s="1"/>
  <c r="AI79" i="1"/>
  <c r="AK79" i="1" s="1"/>
  <c r="AM79" i="1" s="1"/>
  <c r="AI83" i="1"/>
  <c r="AK83" i="1" s="1"/>
  <c r="AM83" i="1" s="1"/>
  <c r="AJ83" i="1"/>
  <c r="AL83" i="1" s="1"/>
  <c r="AN83" i="1" s="1"/>
  <c r="AL3" i="1"/>
  <c r="AN3" i="1" s="1"/>
  <c r="AJ17" i="1"/>
  <c r="AL17" i="1" s="1"/>
  <c r="AN17" i="1" s="1"/>
  <c r="AI17" i="1"/>
  <c r="AK17" i="1" s="1"/>
  <c r="AM17" i="1" s="1"/>
  <c r="AJ40" i="1"/>
  <c r="AL40" i="1" s="1"/>
  <c r="AN40" i="1" s="1"/>
  <c r="AI40" i="1"/>
  <c r="AK40" i="1" s="1"/>
  <c r="AM40" i="1" s="1"/>
  <c r="AJ68" i="1"/>
  <c r="AL68" i="1" s="1"/>
  <c r="AN68" i="1" s="1"/>
  <c r="AI68" i="1"/>
  <c r="AK68" i="1" s="1"/>
  <c r="AM68" i="1" s="1"/>
  <c r="AJ71" i="1"/>
  <c r="AL71" i="1" s="1"/>
  <c r="AN71" i="1" s="1"/>
  <c r="AI71" i="1"/>
  <c r="AK71" i="1" s="1"/>
  <c r="AM71" i="1" s="1"/>
  <c r="AJ76" i="1"/>
  <c r="AL76" i="1" s="1"/>
  <c r="AN76" i="1" s="1"/>
  <c r="AI76" i="1"/>
  <c r="AK76" i="1" s="1"/>
  <c r="AM76" i="1" s="1"/>
  <c r="AI4" i="1"/>
  <c r="AK4" i="1" s="1"/>
  <c r="AM4" i="1" s="1"/>
  <c r="AJ4" i="1"/>
  <c r="AL4" i="1" s="1"/>
  <c r="AN4" i="1" s="1"/>
  <c r="AJ9" i="1"/>
  <c r="AL9" i="1" s="1"/>
  <c r="AN9" i="1" s="1"/>
  <c r="AI9" i="1"/>
  <c r="AK9" i="1" s="1"/>
  <c r="AM9" i="1" s="1"/>
  <c r="AJ14" i="1"/>
  <c r="AL14" i="1" s="1"/>
  <c r="AN14" i="1" s="1"/>
  <c r="AI14" i="1"/>
  <c r="AK14" i="1" s="1"/>
  <c r="AM14" i="1" s="1"/>
  <c r="AI53" i="1"/>
  <c r="AK53" i="1" s="1"/>
  <c r="AM53" i="1" s="1"/>
  <c r="AJ53" i="1"/>
  <c r="AL53" i="1" s="1"/>
  <c r="AN53" i="1" s="1"/>
  <c r="AI61" i="1"/>
  <c r="AK61" i="1" s="1"/>
  <c r="AM61" i="1" s="1"/>
  <c r="AJ61" i="1"/>
  <c r="AL61" i="1" s="1"/>
  <c r="AN61" i="1" s="1"/>
  <c r="AI69" i="1"/>
  <c r="AK69" i="1" s="1"/>
  <c r="AM69" i="1" s="1"/>
  <c r="AJ69" i="1"/>
  <c r="AL69" i="1" s="1"/>
  <c r="AN69" i="1" s="1"/>
  <c r="AI77" i="1"/>
  <c r="AK77" i="1" s="1"/>
  <c r="AM77" i="1" s="1"/>
  <c r="AJ77" i="1"/>
  <c r="AL77" i="1" s="1"/>
  <c r="AN77" i="1" s="1"/>
  <c r="AI12" i="1"/>
  <c r="AK12" i="1" s="1"/>
  <c r="AM12" i="1" s="1"/>
  <c r="AJ12" i="1"/>
  <c r="AL12" i="1" s="1"/>
  <c r="AN12" i="1" s="1"/>
  <c r="AI25" i="1"/>
  <c r="AK25" i="1" s="1"/>
  <c r="AM25" i="1" s="1"/>
  <c r="AJ25" i="1"/>
  <c r="AL25" i="1" s="1"/>
  <c r="AN25" i="1" s="1"/>
  <c r="AI65" i="1"/>
  <c r="AK65" i="1" s="1"/>
  <c r="AM65" i="1" s="1"/>
  <c r="AJ65" i="1"/>
  <c r="AL65" i="1" s="1"/>
  <c r="AN65" i="1" s="1"/>
  <c r="AI8" i="1"/>
  <c r="AK8" i="1" s="1"/>
  <c r="AM8" i="1" s="1"/>
  <c r="AJ8" i="1"/>
  <c r="AL8" i="1" s="1"/>
  <c r="AN8" i="1" s="1"/>
  <c r="AI21" i="1"/>
  <c r="AK21" i="1" s="1"/>
  <c r="AM21" i="1" s="1"/>
  <c r="AJ21" i="1"/>
  <c r="AL21" i="1" s="1"/>
  <c r="AN21" i="1" s="1"/>
  <c r="AI41" i="1"/>
  <c r="AK41" i="1" s="1"/>
  <c r="AM41" i="1" s="1"/>
  <c r="AJ41" i="1"/>
  <c r="AL41" i="1" s="1"/>
  <c r="AN41" i="1" s="1"/>
  <c r="AJ52" i="1"/>
  <c r="AL52" i="1" s="1"/>
  <c r="AN52" i="1" s="1"/>
  <c r="AI52" i="1"/>
  <c r="AK52" i="1" s="1"/>
  <c r="AM52" i="1" s="1"/>
  <c r="AJ60" i="1"/>
  <c r="AL60" i="1" s="1"/>
  <c r="AN60" i="1" s="1"/>
  <c r="AI60" i="1"/>
  <c r="AK60" i="1" s="1"/>
  <c r="AM60" i="1" s="1"/>
  <c r="AJ5" i="1"/>
  <c r="AL5" i="1" s="1"/>
  <c r="AN5" i="1" s="1"/>
  <c r="AI5" i="1"/>
  <c r="AK5" i="1" s="1"/>
  <c r="AM5" i="1" s="1"/>
  <c r="AJ10" i="1"/>
  <c r="AL10" i="1" s="1"/>
  <c r="AN10" i="1" s="1"/>
  <c r="AI10" i="1"/>
  <c r="AK10" i="1" s="1"/>
  <c r="AM10" i="1" s="1"/>
  <c r="AI16" i="1"/>
  <c r="AK16" i="1" s="1"/>
  <c r="AM16" i="1" s="1"/>
  <c r="AJ16" i="1"/>
  <c r="AL16" i="1" s="1"/>
  <c r="AN16" i="1" s="1"/>
  <c r="AJ24" i="1"/>
  <c r="AL24" i="1" s="1"/>
  <c r="AN24" i="1" s="1"/>
  <c r="AI24" i="1"/>
  <c r="AK24" i="1" s="1"/>
  <c r="AM24" i="1" s="1"/>
  <c r="AJ51" i="1"/>
  <c r="AL51" i="1" s="1"/>
  <c r="AN51" i="1" s="1"/>
  <c r="AI51" i="1"/>
  <c r="AK51" i="1" s="1"/>
  <c r="AM51" i="1" s="1"/>
  <c r="AJ56" i="1"/>
  <c r="AL56" i="1" s="1"/>
  <c r="AN56" i="1" s="1"/>
  <c r="AI56" i="1"/>
  <c r="AK56" i="1" s="1"/>
  <c r="AM56" i="1" s="1"/>
  <c r="AJ59" i="1"/>
  <c r="AL59" i="1" s="1"/>
  <c r="AN59" i="1" s="1"/>
  <c r="AI59" i="1"/>
  <c r="AK59" i="1" s="1"/>
  <c r="AM59" i="1" s="1"/>
  <c r="AJ64" i="1"/>
  <c r="AL64" i="1" s="1"/>
  <c r="AN64" i="1" s="1"/>
  <c r="AI64" i="1"/>
  <c r="AK64" i="1" s="1"/>
  <c r="AM64" i="1" s="1"/>
  <c r="AJ67" i="1"/>
  <c r="AL67" i="1" s="1"/>
  <c r="AN67" i="1" s="1"/>
  <c r="AI67" i="1"/>
  <c r="AK67" i="1" s="1"/>
  <c r="AM67" i="1" s="1"/>
  <c r="AJ72" i="1"/>
  <c r="AL72" i="1" s="1"/>
  <c r="AN72" i="1" s="1"/>
  <c r="AI72" i="1"/>
  <c r="AK72" i="1" s="1"/>
  <c r="AM72" i="1" s="1"/>
  <c r="AJ75" i="1"/>
  <c r="AL75" i="1" s="1"/>
  <c r="AN75" i="1" s="1"/>
  <c r="AI75" i="1"/>
  <c r="AK75" i="1" s="1"/>
  <c r="AM75" i="1" s="1"/>
  <c r="AJ22" i="1"/>
  <c r="AL22" i="1" s="1"/>
  <c r="AN22" i="1" s="1"/>
  <c r="AJ28" i="1"/>
  <c r="AL28" i="1" s="1"/>
  <c r="AN28" i="1" s="1"/>
  <c r="AI28" i="1"/>
  <c r="AK28" i="1" s="1"/>
  <c r="AM28" i="1" s="1"/>
  <c r="AJ38" i="1"/>
  <c r="AL38" i="1" s="1"/>
  <c r="AN38" i="1" s="1"/>
  <c r="AJ44" i="1"/>
  <c r="AL44" i="1" s="1"/>
  <c r="AN44" i="1" s="1"/>
  <c r="AI44" i="1"/>
  <c r="AK44" i="1" s="1"/>
  <c r="AM44" i="1" s="1"/>
  <c r="AJ142" i="1"/>
  <c r="AL142" i="1" s="1"/>
  <c r="AN142" i="1" s="1"/>
  <c r="AI142" i="1"/>
  <c r="AK142" i="1" s="1"/>
  <c r="AM142" i="1" s="1"/>
  <c r="AJ32" i="1"/>
  <c r="AL32" i="1" s="1"/>
  <c r="AN32" i="1" s="1"/>
  <c r="AI32" i="1"/>
  <c r="AK32" i="1" s="1"/>
  <c r="AM32" i="1" s="1"/>
  <c r="AJ45" i="1"/>
  <c r="AL45" i="1" s="1"/>
  <c r="AN45" i="1" s="1"/>
  <c r="AJ48" i="1"/>
  <c r="AL48" i="1" s="1"/>
  <c r="AN48" i="1" s="1"/>
  <c r="AI48" i="1"/>
  <c r="AK48" i="1" s="1"/>
  <c r="AM48" i="1" s="1"/>
  <c r="AI80" i="1"/>
  <c r="AK80" i="1" s="1"/>
  <c r="AM80" i="1" s="1"/>
  <c r="AI85" i="1"/>
  <c r="AK85" i="1" s="1"/>
  <c r="AM85" i="1" s="1"/>
  <c r="AI86" i="1"/>
  <c r="AK86" i="1" s="1"/>
  <c r="AM86" i="1" s="1"/>
  <c r="AJ90" i="1"/>
  <c r="AL90" i="1" s="1"/>
  <c r="AN90" i="1" s="1"/>
  <c r="AI90" i="1"/>
  <c r="AK90" i="1" s="1"/>
  <c r="AM90" i="1" s="1"/>
  <c r="AJ94" i="1"/>
  <c r="AL94" i="1" s="1"/>
  <c r="AN94" i="1" s="1"/>
  <c r="AI94" i="1"/>
  <c r="AK94" i="1" s="1"/>
  <c r="AM94" i="1" s="1"/>
  <c r="AJ98" i="1"/>
  <c r="AL98" i="1" s="1"/>
  <c r="AN98" i="1" s="1"/>
  <c r="AI98" i="1"/>
  <c r="AK98" i="1" s="1"/>
  <c r="AM98" i="1" s="1"/>
  <c r="AJ102" i="1"/>
  <c r="AL102" i="1" s="1"/>
  <c r="AN102" i="1" s="1"/>
  <c r="AI102" i="1"/>
  <c r="AK102" i="1" s="1"/>
  <c r="AM102" i="1" s="1"/>
  <c r="AJ106" i="1"/>
  <c r="AL106" i="1" s="1"/>
  <c r="AN106" i="1" s="1"/>
  <c r="AI106" i="1"/>
  <c r="AK106" i="1" s="1"/>
  <c r="AM106" i="1" s="1"/>
  <c r="AJ110" i="1"/>
  <c r="AL110" i="1" s="1"/>
  <c r="AN110" i="1" s="1"/>
  <c r="AI110" i="1"/>
  <c r="AK110" i="1" s="1"/>
  <c r="AM110" i="1" s="1"/>
  <c r="AI114" i="1"/>
  <c r="AK114" i="1" s="1"/>
  <c r="AM114" i="1" s="1"/>
  <c r="AJ114" i="1"/>
  <c r="AL114" i="1" s="1"/>
  <c r="AN114" i="1" s="1"/>
  <c r="AJ129" i="1"/>
  <c r="AL129" i="1" s="1"/>
  <c r="AN129" i="1" s="1"/>
  <c r="AI129" i="1"/>
  <c r="AK129" i="1" s="1"/>
  <c r="AM129" i="1" s="1"/>
  <c r="AI152" i="1"/>
  <c r="AK152" i="1" s="1"/>
  <c r="AM152" i="1" s="1"/>
  <c r="AJ152" i="1"/>
  <c r="AL152" i="1" s="1"/>
  <c r="AN152" i="1" s="1"/>
  <c r="AI7" i="1"/>
  <c r="AK7" i="1" s="1"/>
  <c r="AM7" i="1" s="1"/>
  <c r="AI11" i="1"/>
  <c r="AK11" i="1" s="1"/>
  <c r="AM11" i="1" s="1"/>
  <c r="AI15" i="1"/>
  <c r="AK15" i="1" s="1"/>
  <c r="AM15" i="1" s="1"/>
  <c r="AI23" i="1"/>
  <c r="AK23" i="1" s="1"/>
  <c r="AM23" i="1" s="1"/>
  <c r="AJ36" i="1"/>
  <c r="AL36" i="1" s="1"/>
  <c r="AN36" i="1" s="1"/>
  <c r="AI36" i="1"/>
  <c r="AK36" i="1" s="1"/>
  <c r="AM36" i="1" s="1"/>
  <c r="AI87" i="1"/>
  <c r="AK87" i="1" s="1"/>
  <c r="AM87" i="1" s="1"/>
  <c r="AJ87" i="1"/>
  <c r="AL87" i="1" s="1"/>
  <c r="AN87" i="1" s="1"/>
  <c r="AI91" i="1"/>
  <c r="AK91" i="1" s="1"/>
  <c r="AM91" i="1" s="1"/>
  <c r="AJ91" i="1"/>
  <c r="AL91" i="1" s="1"/>
  <c r="AN91" i="1" s="1"/>
  <c r="AI95" i="1"/>
  <c r="AK95" i="1" s="1"/>
  <c r="AM95" i="1" s="1"/>
  <c r="AJ95" i="1"/>
  <c r="AL95" i="1" s="1"/>
  <c r="AN95" i="1" s="1"/>
  <c r="AI99" i="1"/>
  <c r="AK99" i="1" s="1"/>
  <c r="AM99" i="1" s="1"/>
  <c r="AJ99" i="1"/>
  <c r="AL99" i="1" s="1"/>
  <c r="AN99" i="1" s="1"/>
  <c r="AI103" i="1"/>
  <c r="AK103" i="1" s="1"/>
  <c r="AM103" i="1" s="1"/>
  <c r="AJ103" i="1"/>
  <c r="AL103" i="1" s="1"/>
  <c r="AN103" i="1" s="1"/>
  <c r="AI107" i="1"/>
  <c r="AK107" i="1" s="1"/>
  <c r="AM107" i="1" s="1"/>
  <c r="AJ107" i="1"/>
  <c r="AL107" i="1" s="1"/>
  <c r="AN107" i="1" s="1"/>
  <c r="AI111" i="1"/>
  <c r="AK111" i="1" s="1"/>
  <c r="AM111" i="1" s="1"/>
  <c r="AJ111" i="1"/>
  <c r="AL111" i="1" s="1"/>
  <c r="AN111" i="1" s="1"/>
  <c r="AI136" i="1"/>
  <c r="AK136" i="1" s="1"/>
  <c r="AM136" i="1" s="1"/>
  <c r="AJ136" i="1"/>
  <c r="AL136" i="1" s="1"/>
  <c r="AN136" i="1" s="1"/>
  <c r="AI3" i="1"/>
  <c r="AI18" i="1"/>
  <c r="AK18" i="1" s="1"/>
  <c r="AM18" i="1" s="1"/>
  <c r="AI27" i="1"/>
  <c r="AK27" i="1" s="1"/>
  <c r="AM27" i="1" s="1"/>
  <c r="AJ37" i="1"/>
  <c r="AL37" i="1" s="1"/>
  <c r="AN37" i="1" s="1"/>
  <c r="AI43" i="1"/>
  <c r="AK43" i="1" s="1"/>
  <c r="AM43" i="1" s="1"/>
  <c r="AI89" i="1"/>
  <c r="AK89" i="1" s="1"/>
  <c r="AM89" i="1" s="1"/>
  <c r="AI93" i="1"/>
  <c r="AK93" i="1" s="1"/>
  <c r="AM93" i="1" s="1"/>
  <c r="AI97" i="1"/>
  <c r="AK97" i="1" s="1"/>
  <c r="AM97" i="1" s="1"/>
  <c r="AI132" i="1"/>
  <c r="AK132" i="1" s="1"/>
  <c r="AM132" i="1" s="1"/>
  <c r="AJ132" i="1"/>
  <c r="AL132" i="1" s="1"/>
  <c r="AN132" i="1" s="1"/>
  <c r="AJ158" i="1"/>
  <c r="AL158" i="1" s="1"/>
  <c r="AN158" i="1" s="1"/>
  <c r="AI158" i="1"/>
  <c r="AK158" i="1" s="1"/>
  <c r="AM158" i="1" s="1"/>
  <c r="AJ122" i="1"/>
  <c r="AL122" i="1" s="1"/>
  <c r="AN122" i="1" s="1"/>
  <c r="AI122" i="1"/>
  <c r="AK122" i="1" s="1"/>
  <c r="AM122" i="1" s="1"/>
  <c r="AJ135" i="1"/>
  <c r="AL135" i="1" s="1"/>
  <c r="AN135" i="1" s="1"/>
  <c r="AI135" i="1"/>
  <c r="AK135" i="1" s="1"/>
  <c r="AM135" i="1" s="1"/>
  <c r="AJ139" i="1"/>
  <c r="AL139" i="1" s="1"/>
  <c r="AN139" i="1" s="1"/>
  <c r="AI139" i="1"/>
  <c r="AK139" i="1" s="1"/>
  <c r="AM139" i="1" s="1"/>
  <c r="AI140" i="1"/>
  <c r="AK140" i="1" s="1"/>
  <c r="AM140" i="1" s="1"/>
  <c r="AJ140" i="1"/>
  <c r="AL140" i="1" s="1"/>
  <c r="AN140" i="1" s="1"/>
  <c r="AI145" i="1"/>
  <c r="AK145" i="1" s="1"/>
  <c r="AM145" i="1" s="1"/>
  <c r="AJ145" i="1"/>
  <c r="AL145" i="1" s="1"/>
  <c r="AN145" i="1" s="1"/>
  <c r="AJ151" i="1"/>
  <c r="AL151" i="1" s="1"/>
  <c r="AN151" i="1" s="1"/>
  <c r="AI151" i="1"/>
  <c r="AK151" i="1" s="1"/>
  <c r="AM151" i="1" s="1"/>
  <c r="AJ155" i="1"/>
  <c r="AL155" i="1" s="1"/>
  <c r="AN155" i="1" s="1"/>
  <c r="AI155" i="1"/>
  <c r="AK155" i="1" s="1"/>
  <c r="AM155" i="1" s="1"/>
  <c r="AI156" i="1"/>
  <c r="AK156" i="1" s="1"/>
  <c r="AM156" i="1" s="1"/>
  <c r="AJ156" i="1"/>
  <c r="AL156" i="1" s="1"/>
  <c r="AN156" i="1" s="1"/>
  <c r="AJ163" i="1"/>
  <c r="AL163" i="1" s="1"/>
  <c r="AN163" i="1" s="1"/>
  <c r="AI163" i="1"/>
  <c r="AK163" i="1" s="1"/>
  <c r="AM163" i="1" s="1"/>
  <c r="AI88" i="1"/>
  <c r="AK88" i="1" s="1"/>
  <c r="AM88" i="1" s="1"/>
  <c r="AI92" i="1"/>
  <c r="AK92" i="1" s="1"/>
  <c r="AM92" i="1" s="1"/>
  <c r="AI96" i="1"/>
  <c r="AK96" i="1" s="1"/>
  <c r="AM96" i="1" s="1"/>
  <c r="AI100" i="1"/>
  <c r="AK100" i="1" s="1"/>
  <c r="AM100" i="1" s="1"/>
  <c r="AI104" i="1"/>
  <c r="AK104" i="1" s="1"/>
  <c r="AM104" i="1" s="1"/>
  <c r="AI108" i="1"/>
  <c r="AK108" i="1" s="1"/>
  <c r="AM108" i="1" s="1"/>
  <c r="AI112" i="1"/>
  <c r="AK112" i="1" s="1"/>
  <c r="AM112" i="1" s="1"/>
  <c r="AI124" i="1"/>
  <c r="AK124" i="1" s="1"/>
  <c r="AM124" i="1" s="1"/>
  <c r="AJ124" i="1"/>
  <c r="AL124" i="1" s="1"/>
  <c r="AN124" i="1" s="1"/>
  <c r="AJ126" i="1"/>
  <c r="AL126" i="1" s="1"/>
  <c r="AN126" i="1" s="1"/>
  <c r="AI126" i="1"/>
  <c r="AK126" i="1" s="1"/>
  <c r="AM126" i="1" s="1"/>
  <c r="AJ133" i="1"/>
  <c r="AL133" i="1" s="1"/>
  <c r="AN133" i="1" s="1"/>
  <c r="AJ149" i="1"/>
  <c r="AL149" i="1" s="1"/>
  <c r="AN149" i="1" s="1"/>
  <c r="AJ115" i="1"/>
  <c r="AL115" i="1" s="1"/>
  <c r="AN115" i="1" s="1"/>
  <c r="AI115" i="1"/>
  <c r="AK115" i="1" s="1"/>
  <c r="AM115" i="1" s="1"/>
  <c r="AJ118" i="1"/>
  <c r="AL118" i="1" s="1"/>
  <c r="AN118" i="1" s="1"/>
  <c r="AI118" i="1"/>
  <c r="AK118" i="1" s="1"/>
  <c r="AM118" i="1" s="1"/>
  <c r="AI121" i="1"/>
  <c r="AK121" i="1" s="1"/>
  <c r="AM121" i="1" s="1"/>
  <c r="AI128" i="1"/>
  <c r="AK128" i="1" s="1"/>
  <c r="AM128" i="1" s="1"/>
  <c r="AJ128" i="1"/>
  <c r="AL128" i="1" s="1"/>
  <c r="AN128" i="1" s="1"/>
  <c r="AJ130" i="1"/>
  <c r="AL130" i="1" s="1"/>
  <c r="AN130" i="1" s="1"/>
  <c r="AI130" i="1"/>
  <c r="AK130" i="1" s="1"/>
  <c r="AM130" i="1" s="1"/>
  <c r="AJ138" i="1"/>
  <c r="AL138" i="1" s="1"/>
  <c r="AN138" i="1" s="1"/>
  <c r="AI138" i="1"/>
  <c r="AK138" i="1" s="1"/>
  <c r="AM138" i="1" s="1"/>
  <c r="AJ154" i="1"/>
  <c r="AL154" i="1" s="1"/>
  <c r="AN154" i="1" s="1"/>
  <c r="AI154" i="1"/>
  <c r="AK154" i="1" s="1"/>
  <c r="AM154" i="1" s="1"/>
  <c r="AJ119" i="1"/>
  <c r="AL119" i="1" s="1"/>
  <c r="AN119" i="1" s="1"/>
  <c r="AI119" i="1"/>
  <c r="AK119" i="1" s="1"/>
  <c r="AM119" i="1" s="1"/>
  <c r="AJ134" i="1"/>
  <c r="AL134" i="1" s="1"/>
  <c r="AN134" i="1" s="1"/>
  <c r="AI134" i="1"/>
  <c r="AK134" i="1" s="1"/>
  <c r="AM134" i="1" s="1"/>
  <c r="AJ147" i="1"/>
  <c r="AL147" i="1" s="1"/>
  <c r="AN147" i="1" s="1"/>
  <c r="AI147" i="1"/>
  <c r="AK147" i="1" s="1"/>
  <c r="AM147" i="1" s="1"/>
  <c r="AI148" i="1"/>
  <c r="AK148" i="1" s="1"/>
  <c r="AM148" i="1" s="1"/>
  <c r="AJ148" i="1"/>
  <c r="AL148" i="1" s="1"/>
  <c r="AN148" i="1" s="1"/>
  <c r="AJ150" i="1"/>
  <c r="AL150" i="1" s="1"/>
  <c r="AN150" i="1" s="1"/>
  <c r="AI150" i="1"/>
  <c r="AK150" i="1" s="1"/>
  <c r="AM150" i="1" s="1"/>
  <c r="AJ167" i="1"/>
  <c r="AL167" i="1" s="1"/>
  <c r="AN167" i="1" s="1"/>
  <c r="AI167" i="1"/>
  <c r="AK167" i="1" s="1"/>
  <c r="AM167" i="1" s="1"/>
  <c r="AJ123" i="1"/>
  <c r="AL123" i="1" s="1"/>
  <c r="AN123" i="1" s="1"/>
  <c r="AI123" i="1"/>
  <c r="AK123" i="1" s="1"/>
  <c r="AM123" i="1" s="1"/>
  <c r="AJ127" i="1"/>
  <c r="AL127" i="1" s="1"/>
  <c r="AN127" i="1" s="1"/>
  <c r="AI127" i="1"/>
  <c r="AK127" i="1" s="1"/>
  <c r="AM127" i="1" s="1"/>
  <c r="AJ131" i="1"/>
  <c r="AL131" i="1" s="1"/>
  <c r="AN131" i="1" s="1"/>
  <c r="AI131" i="1"/>
  <c r="AK131" i="1" s="1"/>
  <c r="AM131" i="1" s="1"/>
  <c r="AJ141" i="1"/>
  <c r="AL141" i="1" s="1"/>
  <c r="AN141" i="1" s="1"/>
  <c r="AJ143" i="1"/>
  <c r="AL143" i="1" s="1"/>
  <c r="AN143" i="1" s="1"/>
  <c r="AI143" i="1"/>
  <c r="AK143" i="1" s="1"/>
  <c r="AM143" i="1" s="1"/>
  <c r="AI144" i="1"/>
  <c r="AK144" i="1" s="1"/>
  <c r="AM144" i="1" s="1"/>
  <c r="AJ144" i="1"/>
  <c r="AL144" i="1" s="1"/>
  <c r="AN144" i="1" s="1"/>
  <c r="AJ146" i="1"/>
  <c r="AL146" i="1" s="1"/>
  <c r="AN146" i="1" s="1"/>
  <c r="AI146" i="1"/>
  <c r="AK146" i="1" s="1"/>
  <c r="AM146" i="1" s="1"/>
  <c r="AJ157" i="1"/>
  <c r="AL157" i="1" s="1"/>
  <c r="AN157" i="1" s="1"/>
  <c r="AJ171" i="1"/>
  <c r="AL171" i="1" s="1"/>
  <c r="AN171" i="1" s="1"/>
  <c r="AI171" i="1"/>
  <c r="AK171" i="1" s="1"/>
  <c r="AM171" i="1" s="1"/>
  <c r="AI159" i="1"/>
  <c r="AK159" i="1" s="1"/>
  <c r="AM159" i="1" s="1"/>
  <c r="AJ173" i="1"/>
  <c r="AL173" i="1" s="1"/>
  <c r="AN173" i="1" s="1"/>
  <c r="AI173" i="1"/>
  <c r="AK173" i="1" s="1"/>
  <c r="AM173" i="1" s="1"/>
  <c r="AJ160" i="1"/>
  <c r="AL160" i="1" s="1"/>
  <c r="AN160" i="1" s="1"/>
  <c r="AI160" i="1"/>
  <c r="AK160" i="1" s="1"/>
  <c r="AM160" i="1" s="1"/>
  <c r="AJ164" i="1"/>
  <c r="AL164" i="1" s="1"/>
  <c r="AN164" i="1" s="1"/>
  <c r="AI164" i="1"/>
  <c r="AK164" i="1" s="1"/>
  <c r="AM164" i="1" s="1"/>
  <c r="AJ168" i="1"/>
  <c r="AL168" i="1" s="1"/>
  <c r="AN168" i="1" s="1"/>
  <c r="AI168" i="1"/>
  <c r="AK168" i="1" s="1"/>
  <c r="AM168" i="1" s="1"/>
  <c r="AJ172" i="1"/>
  <c r="AL172" i="1" s="1"/>
  <c r="AN172" i="1" s="1"/>
  <c r="AI172" i="1"/>
  <c r="AK172" i="1" s="1"/>
  <c r="AM172" i="1" s="1"/>
  <c r="AJ174" i="1"/>
  <c r="AL174" i="1" s="1"/>
  <c r="AN174" i="1" s="1"/>
  <c r="AI174" i="1"/>
  <c r="AK174" i="1" s="1"/>
  <c r="AM174" i="1" s="1"/>
  <c r="AI176" i="1" l="1"/>
  <c r="AI175" i="1"/>
  <c r="AK3" i="1"/>
  <c r="AM3" i="1" s="1"/>
  <c r="AJ175" i="1"/>
  <c r="AJ176" i="1"/>
</calcChain>
</file>

<file path=xl/sharedStrings.xml><?xml version="1.0" encoding="utf-8"?>
<sst xmlns="http://schemas.openxmlformats.org/spreadsheetml/2006/main" count="387" uniqueCount="49">
  <si>
    <t>Name</t>
  </si>
  <si>
    <t>DOB</t>
  </si>
  <si>
    <t>PatNo</t>
  </si>
  <si>
    <t>PatRemark</t>
  </si>
  <si>
    <t>Site</t>
  </si>
  <si>
    <t>Scanner-ID</t>
  </si>
  <si>
    <t>Total-Area</t>
  </si>
  <si>
    <t>of-Total-Nr-Slices</t>
  </si>
  <si>
    <t>Meas-Date1</t>
  </si>
  <si>
    <t>MeasNo1</t>
  </si>
  <si>
    <t>Quality1</t>
  </si>
  <si>
    <t>Ct.Ar1</t>
  </si>
  <si>
    <t>Ct.vBMD1</t>
  </si>
  <si>
    <t>Ct.Pm1</t>
  </si>
  <si>
    <t>Ct.Po1</t>
  </si>
  <si>
    <t>Ct.Th1</t>
  </si>
  <si>
    <t>Ct.Po.Dm1</t>
  </si>
  <si>
    <t>Tot.vBMD1</t>
  </si>
  <si>
    <t>Tb.Ar1</t>
  </si>
  <si>
    <t>Tb.Meta.Ar1</t>
  </si>
  <si>
    <t>Tb.Inn.Ar1</t>
  </si>
  <si>
    <t>Tb.vBMD1</t>
  </si>
  <si>
    <t>Tb.Meta.vBMD1</t>
  </si>
  <si>
    <t>Tb.Inn.vBMD1</t>
  </si>
  <si>
    <t>Tb.BV/TV1</t>
  </si>
  <si>
    <t>Tb.N1</t>
  </si>
  <si>
    <t>Tb.Th1</t>
  </si>
  <si>
    <t>Tb.Sp1</t>
  </si>
  <si>
    <t>Tb.1/N.SD1</t>
  </si>
  <si>
    <t>hFE stiffness</t>
  </si>
  <si>
    <t>hFE strength</t>
  </si>
  <si>
    <t>Days calibration</t>
  </si>
  <si>
    <t>BMD diff. Calib.</t>
  </si>
  <si>
    <t>BMD diff. %</t>
  </si>
  <si>
    <t>diff. Stiff hFE %</t>
  </si>
  <si>
    <t>diff. Strength hFE %</t>
  </si>
  <si>
    <t>hFE stiffness corrected</t>
  </si>
  <si>
    <t>hFE strength corrected</t>
  </si>
  <si>
    <t>control hFE stiffness</t>
  </si>
  <si>
    <t>control hFE strength</t>
  </si>
  <si>
    <t>M</t>
  </si>
  <si>
    <t>Radius L</t>
  </si>
  <si>
    <t>Tibia L</t>
  </si>
  <si>
    <t>F</t>
  </si>
  <si>
    <t>Radius R</t>
  </si>
  <si>
    <t>Tibia R</t>
  </si>
  <si>
    <t>Listed on</t>
  </si>
  <si>
    <t>Average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</si>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</sst>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m/d/yyyy"/>
    <numFmt numFmtId="166" formatCode="0.000000"/>
    <numFmt numFmtId="167" formatCode="0.000"/>
    <numFmt numFmtId="168" formatCode="0.0000"/>
    <numFmt numFmtId="169" formatCode="mm/dd/yy"/>
    <numFmt numFmtId="170" formatCode="0.00000"/>
    <numFmt numFmtId="171" formatCode="m/d/yyyy\ h:mm"/>
  </numFmts>
  <fonts count="1" x14ac:knownFonts="1">
    <font>
      <sz val="12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99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3399FF"/>
        <bgColor rgb="FF33CC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2" fontId="0" fillId="0" borderId="0" xfId="0" applyNumberFormat="1"/>
    <xf numFmtId="0" fontId="0" fillId="0" borderId="0" xfId="0" applyFont="1" applyAlignment="1">
      <alignment wrapText="1"/>
    </xf>
    <xf numFmtId="165" fontId="0" fillId="0" borderId="0" xfId="0" applyNumberFormat="1" applyFont="1" applyAlignment="1">
      <alignment wrapText="1"/>
    </xf>
    <xf numFmtId="168" fontId="0" fillId="0" borderId="0" xfId="0" applyNumberFormat="1" applyFont="1" applyAlignment="1">
      <alignment wrapText="1"/>
    </xf>
    <xf numFmtId="2" fontId="0" fillId="0" borderId="0" xfId="0" applyNumberFormat="1" applyFont="1" applyAlignment="1">
      <alignment wrapText="1"/>
    </xf>
    <xf numFmtId="169" fontId="0" fillId="0" borderId="0" xfId="0" applyNumberFormat="1"/>
    <xf numFmtId="1" fontId="0" fillId="0" borderId="0" xfId="0" applyNumberFormat="1"/>
    <xf numFmtId="0" fontId="0" fillId="2" borderId="0" xfId="0" applyFill="1"/>
    <xf numFmtId="2" fontId="0" fillId="3" borderId="0" xfId="0" applyNumberFormat="1" applyFill="1"/>
    <xf numFmtId="170" fontId="0" fillId="0" borderId="0" xfId="0" applyNumberFormat="1"/>
    <xf numFmtId="0" fontId="0" fillId="4" borderId="0" xfId="0" applyFill="1"/>
    <xf numFmtId="17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99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176"/>
  <sheetViews>
    <sheetView tabSelected="1" topLeftCell="H1" zoomScale="200" zoomScaleNormal="90" workbookViewId="0">
      <pane xSplit="3" ySplit="2" topLeftCell="R51" activePane="bottomRight" state="frozen"/>
      <selection activeCell="H1" sqref="H1"/>
      <selection pane="topRight" activeCell="K1" sqref="K1"/>
      <selection pane="bottomLeft" activeCell="H3" sqref="H3"/>
      <selection pane="bottomRight" activeCell="R57" sqref="R57"/>
    </sheetView>
  </sheetViews>
  <sheetFormatPr baseColWidth="10" defaultColWidth="8.83203125" defaultRowHeight="16" x14ac:dyDescent="0.2"/>
  <cols>
    <col min="1" max="1" width="8.33203125"/>
    <col min="2" max="2" width="6.6640625"/>
    <col min="3" max="3" width="7.1640625"/>
    <col min="4" max="4" width="10.1640625"/>
    <col min="5" max="5" width="8.1640625"/>
    <col min="6" max="6" width="10"/>
    <col min="7" max="7" width="9.83203125" style="1"/>
    <col min="8" max="8" width="16"/>
    <col min="9" max="9" width="11.1640625" style="2"/>
    <col min="10" max="10" width="9"/>
    <col min="11" max="11" width="8"/>
    <col min="12" max="12" width="6.83203125" style="1"/>
    <col min="13" max="13" width="9.1640625" style="1"/>
    <col min="14" max="14" width="7" style="1"/>
    <col min="15" max="15" width="9.5" style="3"/>
    <col min="16" max="16" width="6.33203125" style="4"/>
    <col min="17" max="17" width="9.83203125" style="4"/>
    <col min="18" max="18" width="10.33203125" style="1"/>
    <col min="19" max="19" width="7.83203125" style="1"/>
    <col min="20" max="20" width="11.33203125" style="1"/>
    <col min="21" max="21" width="9.83203125" style="1"/>
    <col min="22" max="22" width="9.6640625" style="1"/>
    <col min="23" max="23" width="14.5" style="1"/>
    <col min="24" max="24" width="12.83203125" style="1"/>
    <col min="25" max="25" width="10"/>
    <col min="26" max="26" width="6.33203125"/>
    <col min="27" max="28" width="6.6640625" style="4"/>
    <col min="29" max="29" width="10.5" style="4"/>
    <col min="30" max="30" width="11.6640625"/>
    <col min="31" max="31" width="15"/>
    <col min="32" max="32" width="13.5"/>
    <col min="33" max="33" width="12.6640625"/>
    <col min="34" max="34" width="10.6640625" style="5"/>
    <col min="35" max="35" width="10.6640625"/>
    <col min="36" max="36" width="14.33203125"/>
    <col min="37" max="37" width="10.6640625" style="6"/>
    <col min="38" max="1025" width="10.6640625"/>
  </cols>
  <sheetData>
    <row r="1" spans="1:40" s="7" customFormat="1" ht="51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8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9" t="s">
        <v>33</v>
      </c>
      <c r="AI1" s="7" t="s">
        <v>34</v>
      </c>
      <c r="AJ1" s="7" t="s">
        <v>35</v>
      </c>
      <c r="AK1" s="10" t="s">
        <v>36</v>
      </c>
      <c r="AL1" s="7" t="s">
        <v>37</v>
      </c>
      <c r="AM1" s="7" t="s">
        <v>38</v>
      </c>
      <c r="AN1" s="7" t="s">
        <v>39</v>
      </c>
    </row>
    <row r="2" spans="1:40" x14ac:dyDescent="0.2">
      <c r="G2"/>
      <c r="I2"/>
      <c r="L2"/>
      <c r="M2"/>
      <c r="N2"/>
      <c r="O2"/>
      <c r="P2"/>
      <c r="Q2"/>
      <c r="R2"/>
      <c r="S2"/>
      <c r="T2"/>
      <c r="U2"/>
      <c r="V2"/>
      <c r="W2"/>
      <c r="X2"/>
      <c r="AA2"/>
      <c r="AB2"/>
      <c r="AC2"/>
      <c r="AF2" s="11">
        <v>43104</v>
      </c>
      <c r="AH2"/>
      <c r="AK2"/>
    </row>
    <row r="3" spans="1:40" x14ac:dyDescent="0.2">
      <c r="A3">
        <v>158538</v>
      </c>
      <c r="B3">
        <v>1984</v>
      </c>
      <c r="C3">
        <v>180</v>
      </c>
      <c r="D3" t="s">
        <v>40</v>
      </c>
      <c r="E3" t="s">
        <v>41</v>
      </c>
      <c r="F3">
        <v>3413</v>
      </c>
      <c r="G3" s="1">
        <v>324.60000000000002</v>
      </c>
      <c r="H3">
        <v>336</v>
      </c>
      <c r="I3" s="2">
        <v>43333</v>
      </c>
      <c r="J3">
        <v>1625</v>
      </c>
      <c r="K3">
        <v>0</v>
      </c>
      <c r="L3" s="1">
        <v>74</v>
      </c>
      <c r="M3" s="1">
        <v>930.3</v>
      </c>
      <c r="N3" s="1">
        <v>70.3</v>
      </c>
      <c r="O3" s="3">
        <v>8.8789999999999997E-3</v>
      </c>
      <c r="P3" s="4">
        <v>1.3839999999999999</v>
      </c>
      <c r="Q3" s="4">
        <v>0.16900000000000001</v>
      </c>
      <c r="R3" s="1">
        <v>358.4</v>
      </c>
      <c r="S3" s="1">
        <v>252.8</v>
      </c>
      <c r="T3" s="1">
        <v>102.5</v>
      </c>
      <c r="U3" s="1">
        <v>150.30000000000001</v>
      </c>
      <c r="V3" s="1">
        <v>194.4</v>
      </c>
      <c r="W3" s="1">
        <v>258.39999999999998</v>
      </c>
      <c r="X3" s="1">
        <v>150.80000000000001</v>
      </c>
      <c r="Y3">
        <v>0.28699999999999998</v>
      </c>
      <c r="Z3">
        <v>1.5589999999999999</v>
      </c>
      <c r="AA3" s="4">
        <v>0.24199999999999999</v>
      </c>
      <c r="AB3" s="4">
        <v>0.58299999999999996</v>
      </c>
      <c r="AC3" s="4">
        <v>0.23799999999999999</v>
      </c>
      <c r="AD3" s="12">
        <v>43095</v>
      </c>
      <c r="AE3" s="1">
        <v>-6079.3681999999999</v>
      </c>
      <c r="AF3" s="13">
        <f t="shared" ref="AF3:AF34" si="0">I3-$AF$2</f>
        <v>229</v>
      </c>
      <c r="AG3" s="4">
        <f t="shared" ref="AG3:AG34" si="1">0.02143*EXP(0.01953*AF3)</f>
        <v>1.8764966052464549</v>
      </c>
      <c r="AH3" s="5">
        <f t="shared" ref="AH3:AH34" si="2">AG3/797.996*100</f>
        <v>0.23515112923453937</v>
      </c>
      <c r="AI3" s="4">
        <f t="shared" ref="AI3:AI34" si="3">AH3*1.91117-0.07645</f>
        <v>0.3729637836591746</v>
      </c>
      <c r="AJ3" s="4">
        <f t="shared" ref="AJ3:AJ34" si="4">AH3*1.79085-0.12422</f>
        <v>0.29690039978967486</v>
      </c>
      <c r="AK3" s="14">
        <f t="shared" ref="AK3:AK34" si="5">AD3*(1+AI3/100)</f>
        <v>43255.728742567917</v>
      </c>
      <c r="AL3" s="14">
        <f t="shared" ref="AL3:AL34" si="6">AE3*(1+AJ3/100)</f>
        <v>-6097.4178684904855</v>
      </c>
      <c r="AM3" s="15">
        <f t="shared" ref="AM3:AM34" si="7">AK3/AD3</f>
        <v>1.0037296378365916</v>
      </c>
      <c r="AN3" s="15">
        <f t="shared" ref="AN3:AN34" si="8">AL3/AE3</f>
        <v>1.0029690039978967</v>
      </c>
    </row>
    <row r="4" spans="1:40" x14ac:dyDescent="0.2">
      <c r="A4">
        <v>158538</v>
      </c>
      <c r="B4">
        <v>1984</v>
      </c>
      <c r="C4">
        <v>180</v>
      </c>
      <c r="D4" t="s">
        <v>40</v>
      </c>
      <c r="E4" t="s">
        <v>42</v>
      </c>
      <c r="F4">
        <v>3413</v>
      </c>
      <c r="G4" s="1">
        <v>941.6</v>
      </c>
      <c r="H4">
        <v>504</v>
      </c>
      <c r="I4" s="2">
        <v>43333</v>
      </c>
      <c r="J4">
        <v>1629</v>
      </c>
      <c r="K4">
        <v>0</v>
      </c>
      <c r="L4" s="1">
        <v>128.9</v>
      </c>
      <c r="M4" s="1">
        <v>854.5</v>
      </c>
      <c r="N4" s="1">
        <v>117.1</v>
      </c>
      <c r="O4" s="3">
        <v>3.0758000000000001E-2</v>
      </c>
      <c r="P4" s="4">
        <v>1.4370000000000001</v>
      </c>
      <c r="Q4" s="4">
        <v>0.20200000000000001</v>
      </c>
      <c r="R4" s="1">
        <v>288.60000000000002</v>
      </c>
      <c r="S4" s="1">
        <v>819</v>
      </c>
      <c r="T4" s="1">
        <v>329.8</v>
      </c>
      <c r="U4" s="1">
        <v>489.2</v>
      </c>
      <c r="V4" s="1">
        <v>201.6</v>
      </c>
      <c r="W4" s="1">
        <v>231.6</v>
      </c>
      <c r="X4" s="1">
        <v>181.4</v>
      </c>
      <c r="Y4">
        <v>0.29499999999999998</v>
      </c>
      <c r="Z4">
        <v>1.506</v>
      </c>
      <c r="AA4" s="4">
        <v>0.26600000000000001</v>
      </c>
      <c r="AB4" s="4">
        <v>0.626</v>
      </c>
      <c r="AC4" s="4">
        <v>0.28799999999999998</v>
      </c>
      <c r="AD4" s="12">
        <v>53967.5</v>
      </c>
      <c r="AE4" s="1">
        <v>-12645.9</v>
      </c>
      <c r="AF4" s="13">
        <f t="shared" si="0"/>
        <v>229</v>
      </c>
      <c r="AG4" s="4">
        <f t="shared" si="1"/>
        <v>1.8764966052464549</v>
      </c>
      <c r="AH4" s="5">
        <f t="shared" si="2"/>
        <v>0.23515112923453937</v>
      </c>
      <c r="AI4" s="4">
        <f t="shared" si="3"/>
        <v>0.3729637836591746</v>
      </c>
      <c r="AJ4" s="4">
        <f t="shared" si="4"/>
        <v>0.29690039978967486</v>
      </c>
      <c r="AK4" s="14">
        <f t="shared" si="5"/>
        <v>54168.77922994626</v>
      </c>
      <c r="AL4" s="14">
        <f t="shared" si="6"/>
        <v>-12683.445727657001</v>
      </c>
      <c r="AM4" s="15">
        <f t="shared" si="7"/>
        <v>1.0037296378365916</v>
      </c>
      <c r="AN4" s="15">
        <f t="shared" si="8"/>
        <v>1.0029690039978967</v>
      </c>
    </row>
    <row r="5" spans="1:40" x14ac:dyDescent="0.2">
      <c r="A5">
        <v>158546</v>
      </c>
      <c r="B5">
        <v>1986</v>
      </c>
      <c r="C5">
        <v>183</v>
      </c>
      <c r="D5" t="s">
        <v>40</v>
      </c>
      <c r="E5" t="s">
        <v>41</v>
      </c>
      <c r="F5">
        <v>3413</v>
      </c>
      <c r="G5" s="1">
        <v>357.4</v>
      </c>
      <c r="H5">
        <v>336</v>
      </c>
      <c r="I5" s="2">
        <v>43335</v>
      </c>
      <c r="J5">
        <v>1633</v>
      </c>
      <c r="K5">
        <v>0</v>
      </c>
      <c r="L5" s="1">
        <v>60.2</v>
      </c>
      <c r="M5" s="1">
        <v>899.8</v>
      </c>
      <c r="N5" s="1">
        <v>75</v>
      </c>
      <c r="O5" s="3">
        <v>4.5869999999999999E-3</v>
      </c>
      <c r="P5" s="4">
        <v>1.052</v>
      </c>
      <c r="Q5" s="4">
        <v>0.16200000000000001</v>
      </c>
      <c r="R5" s="1">
        <v>313.10000000000002</v>
      </c>
      <c r="S5" s="1">
        <v>302</v>
      </c>
      <c r="T5" s="1">
        <v>122.4</v>
      </c>
      <c r="U5" s="1">
        <v>179.6</v>
      </c>
      <c r="V5" s="1">
        <v>199.7</v>
      </c>
      <c r="W5" s="1">
        <v>233.7</v>
      </c>
      <c r="X5" s="1">
        <v>176.5</v>
      </c>
      <c r="Y5">
        <v>0.28799999999999998</v>
      </c>
      <c r="Z5">
        <v>1.7</v>
      </c>
      <c r="AA5" s="4">
        <v>0.23100000000000001</v>
      </c>
      <c r="AB5" s="4">
        <v>0.52600000000000002</v>
      </c>
      <c r="AC5" s="4">
        <v>0.191</v>
      </c>
      <c r="AD5" s="12">
        <v>36714.800000000003</v>
      </c>
      <c r="AE5" s="1">
        <v>-4774.5141999999996</v>
      </c>
      <c r="AF5" s="13">
        <f t="shared" si="0"/>
        <v>231</v>
      </c>
      <c r="AG5" s="4">
        <f t="shared" si="1"/>
        <v>1.9512428538640507</v>
      </c>
      <c r="AH5" s="5">
        <f t="shared" si="2"/>
        <v>0.24451787400739489</v>
      </c>
      <c r="AI5" s="4">
        <f t="shared" si="3"/>
        <v>0.39086522526671286</v>
      </c>
      <c r="AJ5" s="4">
        <f t="shared" si="4"/>
        <v>0.31367483466614315</v>
      </c>
      <c r="AK5" s="14">
        <f t="shared" si="5"/>
        <v>36858.305385726228</v>
      </c>
      <c r="AL5" s="14">
        <f t="shared" si="6"/>
        <v>-4789.4906495229607</v>
      </c>
      <c r="AM5" s="15">
        <f t="shared" si="7"/>
        <v>1.0039086522526672</v>
      </c>
      <c r="AN5" s="15">
        <f t="shared" si="8"/>
        <v>1.0031367483466613</v>
      </c>
    </row>
    <row r="6" spans="1:40" x14ac:dyDescent="0.2">
      <c r="A6">
        <v>158546</v>
      </c>
      <c r="B6">
        <v>1986</v>
      </c>
      <c r="C6">
        <v>183</v>
      </c>
      <c r="D6" t="s">
        <v>40</v>
      </c>
      <c r="E6" t="s">
        <v>42</v>
      </c>
      <c r="F6">
        <v>3413</v>
      </c>
      <c r="G6" s="1">
        <v>1065.5999999999999</v>
      </c>
      <c r="H6">
        <v>504</v>
      </c>
      <c r="I6" s="2">
        <v>43335</v>
      </c>
      <c r="J6">
        <v>1636</v>
      </c>
      <c r="K6">
        <v>0</v>
      </c>
      <c r="L6" s="1">
        <v>126.3</v>
      </c>
      <c r="M6" s="1">
        <v>831.7</v>
      </c>
      <c r="N6" s="1">
        <v>123.7</v>
      </c>
      <c r="O6" s="3">
        <v>3.5305999999999997E-2</v>
      </c>
      <c r="P6" s="4">
        <v>1.393</v>
      </c>
      <c r="Q6" s="4">
        <v>0.251</v>
      </c>
      <c r="R6" s="1">
        <v>319.5</v>
      </c>
      <c r="S6" s="1">
        <v>948</v>
      </c>
      <c r="T6" s="1">
        <v>381.6</v>
      </c>
      <c r="U6" s="1">
        <v>566.4</v>
      </c>
      <c r="V6" s="1">
        <v>252.8</v>
      </c>
      <c r="W6" s="1">
        <v>287.39999999999998</v>
      </c>
      <c r="X6" s="1">
        <v>229.4</v>
      </c>
      <c r="Y6">
        <v>0.36399999999999999</v>
      </c>
      <c r="Z6">
        <v>1.587</v>
      </c>
      <c r="AA6" s="4">
        <v>0.28599999999999998</v>
      </c>
      <c r="AB6" s="4">
        <v>0.56599999999999995</v>
      </c>
      <c r="AC6" s="4">
        <v>0.252</v>
      </c>
      <c r="AD6" s="12">
        <v>76741.8</v>
      </c>
      <c r="AE6" s="1">
        <v>-18835.701000000001</v>
      </c>
      <c r="AF6" s="13">
        <f t="shared" si="0"/>
        <v>231</v>
      </c>
      <c r="AG6" s="4">
        <f t="shared" si="1"/>
        <v>1.9512428538640507</v>
      </c>
      <c r="AH6" s="5">
        <f t="shared" si="2"/>
        <v>0.24451787400739489</v>
      </c>
      <c r="AI6" s="4">
        <f t="shared" si="3"/>
        <v>0.39086522526671286</v>
      </c>
      <c r="AJ6" s="4">
        <f t="shared" si="4"/>
        <v>0.31367483466614315</v>
      </c>
      <c r="AK6" s="14">
        <f t="shared" si="5"/>
        <v>77041.75700944374</v>
      </c>
      <c r="AL6" s="14">
        <f t="shared" si="6"/>
        <v>-18894.783853969959</v>
      </c>
      <c r="AM6" s="15">
        <f t="shared" si="7"/>
        <v>1.0039086522526672</v>
      </c>
      <c r="AN6" s="15">
        <f t="shared" si="8"/>
        <v>1.0031367483466613</v>
      </c>
    </row>
    <row r="7" spans="1:40" x14ac:dyDescent="0.2">
      <c r="A7">
        <v>158549</v>
      </c>
      <c r="B7">
        <v>1990</v>
      </c>
      <c r="C7">
        <v>184</v>
      </c>
      <c r="D7" t="s">
        <v>43</v>
      </c>
      <c r="E7" t="s">
        <v>41</v>
      </c>
      <c r="F7">
        <v>3413</v>
      </c>
      <c r="G7" s="1">
        <v>327.7</v>
      </c>
      <c r="H7">
        <v>336</v>
      </c>
      <c r="I7" s="2">
        <v>43336</v>
      </c>
      <c r="J7">
        <v>1641</v>
      </c>
      <c r="K7">
        <v>0</v>
      </c>
      <c r="L7" s="1">
        <v>45.3</v>
      </c>
      <c r="M7" s="1">
        <v>878.6</v>
      </c>
      <c r="N7" s="1">
        <v>71.5</v>
      </c>
      <c r="O7" s="3">
        <v>1.3110000000000001E-3</v>
      </c>
      <c r="P7" s="4">
        <v>0.77700000000000002</v>
      </c>
      <c r="Q7" s="4">
        <v>0.1</v>
      </c>
      <c r="R7" s="1">
        <v>211.3</v>
      </c>
      <c r="S7" s="1">
        <v>286.7</v>
      </c>
      <c r="T7" s="1">
        <v>116.2</v>
      </c>
      <c r="U7" s="1">
        <v>170.5</v>
      </c>
      <c r="V7" s="1">
        <v>111</v>
      </c>
      <c r="W7" s="1">
        <v>167.4</v>
      </c>
      <c r="X7" s="1">
        <v>72.599999999999994</v>
      </c>
      <c r="Y7">
        <v>0.161</v>
      </c>
      <c r="Z7">
        <v>1.2929999999999999</v>
      </c>
      <c r="AA7" s="4">
        <v>0.21</v>
      </c>
      <c r="AB7" s="4">
        <v>0.752</v>
      </c>
      <c r="AC7" s="4">
        <v>0.3</v>
      </c>
      <c r="AD7" s="12">
        <v>19781.099999999999</v>
      </c>
      <c r="AE7" s="1">
        <v>-2810.7494999999999</v>
      </c>
      <c r="AF7" s="13">
        <f t="shared" si="0"/>
        <v>232</v>
      </c>
      <c r="AG7" s="4">
        <f t="shared" si="1"/>
        <v>1.9897251835938656</v>
      </c>
      <c r="AH7" s="5">
        <f t="shared" si="2"/>
        <v>0.24934024526361859</v>
      </c>
      <c r="AI7" s="4">
        <f t="shared" si="3"/>
        <v>0.40008159654046993</v>
      </c>
      <c r="AJ7" s="4">
        <f t="shared" si="4"/>
        <v>0.32231097823035137</v>
      </c>
      <c r="AK7" s="14">
        <f t="shared" si="5"/>
        <v>19860.240540693267</v>
      </c>
      <c r="AL7" s="14">
        <f t="shared" si="6"/>
        <v>-2819.8088542090545</v>
      </c>
      <c r="AM7" s="15">
        <f t="shared" si="7"/>
        <v>1.0040008159654048</v>
      </c>
      <c r="AN7" s="15">
        <f t="shared" si="8"/>
        <v>1.0032231097823034</v>
      </c>
    </row>
    <row r="8" spans="1:40" x14ac:dyDescent="0.2">
      <c r="A8">
        <v>158549</v>
      </c>
      <c r="B8">
        <v>1990</v>
      </c>
      <c r="C8">
        <v>184</v>
      </c>
      <c r="D8" t="s">
        <v>43</v>
      </c>
      <c r="E8" t="s">
        <v>42</v>
      </c>
      <c r="F8">
        <v>3413</v>
      </c>
      <c r="G8" s="1">
        <v>971.2</v>
      </c>
      <c r="H8">
        <v>504</v>
      </c>
      <c r="I8" s="2">
        <v>43336</v>
      </c>
      <c r="J8">
        <v>1644</v>
      </c>
      <c r="K8">
        <v>0</v>
      </c>
      <c r="L8" s="1">
        <v>87.5</v>
      </c>
      <c r="M8" s="1">
        <v>857.2</v>
      </c>
      <c r="N8" s="1">
        <v>117</v>
      </c>
      <c r="O8" s="3">
        <v>9.8329999999999997E-3</v>
      </c>
      <c r="P8" s="4">
        <v>0.97699999999999998</v>
      </c>
      <c r="Q8" s="4">
        <v>0.189</v>
      </c>
      <c r="R8" s="1">
        <v>221.8</v>
      </c>
      <c r="S8" s="1">
        <v>890.8</v>
      </c>
      <c r="T8" s="1">
        <v>358.6</v>
      </c>
      <c r="U8" s="1">
        <v>532.20000000000005</v>
      </c>
      <c r="V8" s="1">
        <v>161.69999999999999</v>
      </c>
      <c r="W8" s="1">
        <v>189</v>
      </c>
      <c r="X8" s="1">
        <v>143.6</v>
      </c>
      <c r="Y8">
        <v>0.24</v>
      </c>
      <c r="Z8">
        <v>1.4830000000000001</v>
      </c>
      <c r="AA8" s="4">
        <v>0.23899999999999999</v>
      </c>
      <c r="AB8" s="4">
        <v>0.64700000000000002</v>
      </c>
      <c r="AC8" s="4">
        <v>0.28699999999999998</v>
      </c>
      <c r="AD8" s="12">
        <v>37188.5</v>
      </c>
      <c r="AE8" s="1">
        <v>-8735.0391</v>
      </c>
      <c r="AF8" s="13">
        <f t="shared" si="0"/>
        <v>232</v>
      </c>
      <c r="AG8" s="4">
        <f t="shared" si="1"/>
        <v>1.9897251835938656</v>
      </c>
      <c r="AH8" s="5">
        <f t="shared" si="2"/>
        <v>0.24934024526361859</v>
      </c>
      <c r="AI8" s="4">
        <f t="shared" si="3"/>
        <v>0.40008159654046993</v>
      </c>
      <c r="AJ8" s="4">
        <f t="shared" si="4"/>
        <v>0.32231097823035137</v>
      </c>
      <c r="AK8" s="14">
        <f t="shared" si="5"/>
        <v>37337.284344529457</v>
      </c>
      <c r="AL8" s="14">
        <f t="shared" si="6"/>
        <v>-8763.1930899720137</v>
      </c>
      <c r="AM8" s="15">
        <f t="shared" si="7"/>
        <v>1.0040008159654048</v>
      </c>
      <c r="AN8" s="15">
        <f t="shared" si="8"/>
        <v>1.0032231097823034</v>
      </c>
    </row>
    <row r="9" spans="1:40" x14ac:dyDescent="0.2">
      <c r="A9">
        <v>158555</v>
      </c>
      <c r="B9">
        <v>1997</v>
      </c>
      <c r="C9">
        <v>185</v>
      </c>
      <c r="D9" t="s">
        <v>43</v>
      </c>
      <c r="E9" t="s">
        <v>41</v>
      </c>
      <c r="F9">
        <v>3413</v>
      </c>
      <c r="G9" s="1">
        <v>257.8</v>
      </c>
      <c r="H9">
        <v>336</v>
      </c>
      <c r="I9" s="2">
        <v>43339</v>
      </c>
      <c r="J9">
        <v>1649</v>
      </c>
      <c r="K9">
        <v>0</v>
      </c>
      <c r="L9" s="1">
        <v>58.3</v>
      </c>
      <c r="M9" s="1">
        <v>938.5</v>
      </c>
      <c r="N9" s="1">
        <v>63.6</v>
      </c>
      <c r="O9" s="3">
        <v>1.3370000000000001E-3</v>
      </c>
      <c r="P9" s="4">
        <v>1.1339999999999999</v>
      </c>
      <c r="Q9" s="4">
        <v>0.11700000000000001</v>
      </c>
      <c r="R9" s="1">
        <v>313.89999999999998</v>
      </c>
      <c r="S9" s="1">
        <v>203.8</v>
      </c>
      <c r="T9" s="1">
        <v>82.8</v>
      </c>
      <c r="U9" s="1">
        <v>121</v>
      </c>
      <c r="V9" s="1">
        <v>139.9</v>
      </c>
      <c r="W9" s="1">
        <v>180.2</v>
      </c>
      <c r="X9" s="1">
        <v>112.5</v>
      </c>
      <c r="Y9">
        <v>0.21199999999999999</v>
      </c>
      <c r="Z9">
        <v>1.306</v>
      </c>
      <c r="AA9" s="4">
        <v>0.22</v>
      </c>
      <c r="AB9" s="4">
        <v>0.70099999999999996</v>
      </c>
      <c r="AC9" s="4">
        <v>0.29499999999999998</v>
      </c>
      <c r="AD9" s="12">
        <v>28659.599999999999</v>
      </c>
      <c r="AE9" s="1">
        <v>-4259.9584999999997</v>
      </c>
      <c r="AF9" s="13">
        <f t="shared" si="0"/>
        <v>235</v>
      </c>
      <c r="AG9" s="4">
        <f t="shared" si="1"/>
        <v>2.1097860210131731</v>
      </c>
      <c r="AH9" s="5">
        <f t="shared" si="2"/>
        <v>0.26438553840033951</v>
      </c>
      <c r="AI9" s="4">
        <f t="shared" si="3"/>
        <v>0.42883570942457683</v>
      </c>
      <c r="AJ9" s="4">
        <f t="shared" si="4"/>
        <v>0.34925484144424801</v>
      </c>
      <c r="AK9" s="14">
        <f t="shared" si="5"/>
        <v>28782.502598978244</v>
      </c>
      <c r="AL9" s="14">
        <f t="shared" si="6"/>
        <v>-4274.8366113047659</v>
      </c>
      <c r="AM9" s="15">
        <f t="shared" si="7"/>
        <v>1.0042883570942458</v>
      </c>
      <c r="AN9" s="15">
        <f t="shared" si="8"/>
        <v>1.0034925484144426</v>
      </c>
    </row>
    <row r="10" spans="1:40" x14ac:dyDescent="0.2">
      <c r="A10">
        <v>158555</v>
      </c>
      <c r="B10">
        <v>1997</v>
      </c>
      <c r="C10">
        <v>185</v>
      </c>
      <c r="D10" t="s">
        <v>43</v>
      </c>
      <c r="E10" t="s">
        <v>42</v>
      </c>
      <c r="F10">
        <v>3413</v>
      </c>
      <c r="G10" s="1">
        <v>957.1</v>
      </c>
      <c r="H10">
        <v>504</v>
      </c>
      <c r="I10" s="2">
        <v>43339</v>
      </c>
      <c r="J10">
        <v>1652</v>
      </c>
      <c r="K10">
        <v>0</v>
      </c>
      <c r="L10" s="1">
        <v>89.4</v>
      </c>
      <c r="M10" s="1">
        <v>858.9</v>
      </c>
      <c r="N10" s="1">
        <v>117.1</v>
      </c>
      <c r="O10" s="3">
        <v>8.3949999999999997E-3</v>
      </c>
      <c r="P10" s="4">
        <v>0.996</v>
      </c>
      <c r="Q10" s="4">
        <v>0.19400000000000001</v>
      </c>
      <c r="R10" s="1">
        <v>237.6</v>
      </c>
      <c r="S10" s="1">
        <v>875.4</v>
      </c>
      <c r="T10" s="1">
        <v>352.6</v>
      </c>
      <c r="U10" s="1">
        <v>522.79999999999995</v>
      </c>
      <c r="V10" s="1">
        <v>176.7</v>
      </c>
      <c r="W10" s="1">
        <v>196.9</v>
      </c>
      <c r="X10" s="1">
        <v>162.9</v>
      </c>
      <c r="Y10">
        <v>0.26200000000000001</v>
      </c>
      <c r="Z10">
        <v>1.357</v>
      </c>
      <c r="AA10" s="4">
        <v>0.27500000000000002</v>
      </c>
      <c r="AB10" s="4">
        <v>0.70299999999999996</v>
      </c>
      <c r="AC10" s="4">
        <v>0.32900000000000001</v>
      </c>
      <c r="AD10" s="12">
        <v>43347.199999999997</v>
      </c>
      <c r="AE10" s="1">
        <v>-10167.092000000001</v>
      </c>
      <c r="AF10" s="13">
        <f t="shared" si="0"/>
        <v>235</v>
      </c>
      <c r="AG10" s="4">
        <f t="shared" si="1"/>
        <v>2.1097860210131731</v>
      </c>
      <c r="AH10" s="5">
        <f t="shared" si="2"/>
        <v>0.26438553840033951</v>
      </c>
      <c r="AI10" s="4">
        <f t="shared" si="3"/>
        <v>0.42883570942457683</v>
      </c>
      <c r="AJ10" s="4">
        <f t="shared" si="4"/>
        <v>0.34925484144424801</v>
      </c>
      <c r="AK10" s="14">
        <f t="shared" si="5"/>
        <v>43533.088272635687</v>
      </c>
      <c r="AL10" s="14">
        <f t="shared" si="6"/>
        <v>-10202.601061044092</v>
      </c>
      <c r="AM10" s="15">
        <f t="shared" si="7"/>
        <v>1.0042883570942458</v>
      </c>
      <c r="AN10" s="15">
        <f t="shared" si="8"/>
        <v>1.0034925484144426</v>
      </c>
    </row>
    <row r="11" spans="1:40" x14ac:dyDescent="0.2">
      <c r="A11">
        <v>158576</v>
      </c>
      <c r="B11">
        <v>1997</v>
      </c>
      <c r="C11">
        <v>186</v>
      </c>
      <c r="D11" t="s">
        <v>40</v>
      </c>
      <c r="E11" t="s">
        <v>41</v>
      </c>
      <c r="F11">
        <v>3413</v>
      </c>
      <c r="G11" s="1">
        <v>323.89999999999998</v>
      </c>
      <c r="H11">
        <v>336</v>
      </c>
      <c r="I11" s="2">
        <v>43340</v>
      </c>
      <c r="J11">
        <v>1657</v>
      </c>
      <c r="K11">
        <v>0</v>
      </c>
      <c r="L11" s="1">
        <v>85.2</v>
      </c>
      <c r="M11" s="1">
        <v>905.6</v>
      </c>
      <c r="N11" s="1">
        <v>73.599999999999994</v>
      </c>
      <c r="O11" s="3">
        <v>4.7099999999999998E-3</v>
      </c>
      <c r="P11" s="4">
        <v>1.4710000000000001</v>
      </c>
      <c r="Q11" s="4">
        <v>0.184</v>
      </c>
      <c r="R11" s="1">
        <v>400.2</v>
      </c>
      <c r="S11" s="1">
        <v>242.2</v>
      </c>
      <c r="T11" s="1">
        <v>98.4</v>
      </c>
      <c r="U11" s="1">
        <v>143.80000000000001</v>
      </c>
      <c r="V11" s="1">
        <v>225.3</v>
      </c>
      <c r="W11" s="1">
        <v>270.3</v>
      </c>
      <c r="X11" s="1">
        <v>194.4</v>
      </c>
      <c r="Y11">
        <v>0.32900000000000001</v>
      </c>
      <c r="Z11">
        <v>1.796</v>
      </c>
      <c r="AA11" s="4">
        <v>0.247</v>
      </c>
      <c r="AB11" s="4">
        <v>0.48399999999999999</v>
      </c>
      <c r="AC11" s="4">
        <v>0.183</v>
      </c>
      <c r="AD11" s="12">
        <v>51052.2</v>
      </c>
      <c r="AE11" s="1">
        <v>-8830.3984</v>
      </c>
      <c r="AF11" s="13">
        <f t="shared" si="0"/>
        <v>236</v>
      </c>
      <c r="AG11" s="4">
        <f t="shared" si="1"/>
        <v>2.1513951324362863</v>
      </c>
      <c r="AH11" s="5">
        <f t="shared" si="2"/>
        <v>0.2695997389004815</v>
      </c>
      <c r="AI11" s="4">
        <f t="shared" si="3"/>
        <v>0.43880093299443323</v>
      </c>
      <c r="AJ11" s="4">
        <f t="shared" si="4"/>
        <v>0.3585926924099273</v>
      </c>
      <c r="AK11" s="14">
        <f t="shared" si="5"/>
        <v>51276.217529914189</v>
      </c>
      <c r="AL11" s="14">
        <f t="shared" si="6"/>
        <v>-8862.0635633730817</v>
      </c>
      <c r="AM11" s="15">
        <f t="shared" si="7"/>
        <v>1.0043880093299444</v>
      </c>
      <c r="AN11" s="15">
        <f t="shared" si="8"/>
        <v>1.0035859269240992</v>
      </c>
    </row>
    <row r="12" spans="1:40" x14ac:dyDescent="0.2">
      <c r="A12">
        <v>158576</v>
      </c>
      <c r="B12">
        <v>1997</v>
      </c>
      <c r="C12">
        <v>186</v>
      </c>
      <c r="D12" t="s">
        <v>40</v>
      </c>
      <c r="E12" t="s">
        <v>42</v>
      </c>
      <c r="F12">
        <v>3413</v>
      </c>
      <c r="G12" s="1">
        <v>1106.5</v>
      </c>
      <c r="H12">
        <v>504</v>
      </c>
      <c r="I12" s="2">
        <v>43340</v>
      </c>
      <c r="J12">
        <v>1660</v>
      </c>
      <c r="K12">
        <v>0</v>
      </c>
      <c r="L12" s="1">
        <v>141.80000000000001</v>
      </c>
      <c r="M12" s="1">
        <v>805.2</v>
      </c>
      <c r="N12" s="1">
        <v>124.3</v>
      </c>
      <c r="O12" s="3">
        <v>3.4417999999999997E-2</v>
      </c>
      <c r="P12" s="4">
        <v>1.6020000000000001</v>
      </c>
      <c r="Q12" s="4">
        <v>0.21199999999999999</v>
      </c>
      <c r="R12" s="1">
        <v>345.4</v>
      </c>
      <c r="S12" s="1">
        <v>971.6</v>
      </c>
      <c r="T12" s="1">
        <v>391.2</v>
      </c>
      <c r="U12" s="1">
        <v>580.4</v>
      </c>
      <c r="V12" s="1">
        <v>279.60000000000002</v>
      </c>
      <c r="W12" s="1">
        <v>310.5</v>
      </c>
      <c r="X12" s="1">
        <v>258.8</v>
      </c>
      <c r="Y12">
        <v>0.40699999999999997</v>
      </c>
      <c r="Z12">
        <v>1.964</v>
      </c>
      <c r="AA12" s="4">
        <v>0.27700000000000002</v>
      </c>
      <c r="AB12" s="4">
        <v>0.44800000000000001</v>
      </c>
      <c r="AC12" s="4">
        <v>0.192</v>
      </c>
      <c r="AD12" s="12">
        <v>87645</v>
      </c>
      <c r="AE12" s="1">
        <v>-23312.671999999999</v>
      </c>
      <c r="AF12" s="13">
        <f t="shared" si="0"/>
        <v>236</v>
      </c>
      <c r="AG12" s="4">
        <f t="shared" si="1"/>
        <v>2.1513951324362863</v>
      </c>
      <c r="AH12" s="5">
        <f t="shared" si="2"/>
        <v>0.2695997389004815</v>
      </c>
      <c r="AI12" s="4">
        <f t="shared" si="3"/>
        <v>0.43880093299443323</v>
      </c>
      <c r="AJ12" s="4">
        <f t="shared" si="4"/>
        <v>0.3585926924099273</v>
      </c>
      <c r="AK12" s="14">
        <f t="shared" si="5"/>
        <v>88029.587077722987</v>
      </c>
      <c r="AL12" s="14">
        <f t="shared" si="6"/>
        <v>-23396.269538197492</v>
      </c>
      <c r="AM12" s="15">
        <f t="shared" si="7"/>
        <v>1.0043880093299444</v>
      </c>
      <c r="AN12" s="15">
        <f t="shared" si="8"/>
        <v>1.0035859269240992</v>
      </c>
    </row>
    <row r="13" spans="1:40" x14ac:dyDescent="0.2">
      <c r="A13">
        <v>158597</v>
      </c>
      <c r="B13">
        <v>1997</v>
      </c>
      <c r="C13">
        <v>191</v>
      </c>
      <c r="D13" t="s">
        <v>43</v>
      </c>
      <c r="E13" t="s">
        <v>41</v>
      </c>
      <c r="F13">
        <v>3413</v>
      </c>
      <c r="G13" s="1">
        <v>313.89999999999998</v>
      </c>
      <c r="H13">
        <v>336</v>
      </c>
      <c r="I13" s="2">
        <v>43346</v>
      </c>
      <c r="J13">
        <v>1692</v>
      </c>
      <c r="K13">
        <v>0</v>
      </c>
      <c r="L13" s="1">
        <v>51.5</v>
      </c>
      <c r="M13" s="1">
        <v>868.5</v>
      </c>
      <c r="N13" s="1">
        <v>68.7</v>
      </c>
      <c r="O13" s="3">
        <v>3.078E-3</v>
      </c>
      <c r="P13" s="4">
        <v>0.95599999999999996</v>
      </c>
      <c r="Q13" s="4">
        <v>0.14599999999999999</v>
      </c>
      <c r="R13" s="1">
        <v>306.3</v>
      </c>
      <c r="S13" s="1">
        <v>266.3</v>
      </c>
      <c r="T13" s="1">
        <v>108</v>
      </c>
      <c r="U13" s="1">
        <v>158.30000000000001</v>
      </c>
      <c r="V13" s="1">
        <v>201.6</v>
      </c>
      <c r="W13" s="1">
        <v>239.3</v>
      </c>
      <c r="X13" s="1">
        <v>175.9</v>
      </c>
      <c r="Y13">
        <v>0.29099999999999998</v>
      </c>
      <c r="Z13">
        <v>1.85</v>
      </c>
      <c r="AA13" s="4">
        <v>0.22600000000000001</v>
      </c>
      <c r="AB13" s="4">
        <v>0.48799999999999999</v>
      </c>
      <c r="AC13" s="4">
        <v>0.17299999999999999</v>
      </c>
      <c r="AD13" s="12">
        <v>31519</v>
      </c>
      <c r="AE13" s="1">
        <v>-4934.9228999999996</v>
      </c>
      <c r="AF13" s="13">
        <f t="shared" si="0"/>
        <v>242</v>
      </c>
      <c r="AG13" s="4">
        <f t="shared" si="1"/>
        <v>2.4188604250065895</v>
      </c>
      <c r="AH13" s="5">
        <f t="shared" si="2"/>
        <v>0.30311686086228373</v>
      </c>
      <c r="AI13" s="4">
        <f t="shared" si="3"/>
        <v>0.50285785097417079</v>
      </c>
      <c r="AJ13" s="4">
        <f t="shared" si="4"/>
        <v>0.41861683027522079</v>
      </c>
      <c r="AK13" s="14">
        <f t="shared" si="5"/>
        <v>31677.495766048549</v>
      </c>
      <c r="AL13" s="14">
        <f t="shared" si="6"/>
        <v>-4955.5813178205053</v>
      </c>
      <c r="AM13" s="15">
        <f t="shared" si="7"/>
        <v>1.0050285785097417</v>
      </c>
      <c r="AN13" s="15">
        <f t="shared" si="8"/>
        <v>1.0041861683027522</v>
      </c>
    </row>
    <row r="14" spans="1:40" x14ac:dyDescent="0.2">
      <c r="A14">
        <v>158597</v>
      </c>
      <c r="B14">
        <v>1997</v>
      </c>
      <c r="C14">
        <v>191</v>
      </c>
      <c r="D14" t="s">
        <v>43</v>
      </c>
      <c r="E14" t="s">
        <v>42</v>
      </c>
      <c r="F14">
        <v>3413</v>
      </c>
      <c r="G14" s="1">
        <v>927.5</v>
      </c>
      <c r="H14">
        <v>504</v>
      </c>
      <c r="I14" s="2">
        <v>43346</v>
      </c>
      <c r="J14">
        <v>1693</v>
      </c>
      <c r="K14">
        <v>0</v>
      </c>
      <c r="L14" s="1">
        <v>100</v>
      </c>
      <c r="M14" s="1">
        <v>860.9</v>
      </c>
      <c r="N14" s="1">
        <v>115.6</v>
      </c>
      <c r="O14" s="3">
        <v>1.4411E-2</v>
      </c>
      <c r="P14" s="4">
        <v>1.133</v>
      </c>
      <c r="Q14" s="4">
        <v>0.18099999999999999</v>
      </c>
      <c r="R14" s="1">
        <v>288</v>
      </c>
      <c r="S14" s="1">
        <v>833.7</v>
      </c>
      <c r="T14" s="1">
        <v>335.9</v>
      </c>
      <c r="U14" s="1">
        <v>497.7</v>
      </c>
      <c r="V14" s="1">
        <v>221.5</v>
      </c>
      <c r="W14" s="1">
        <v>249.1</v>
      </c>
      <c r="X14" s="1">
        <v>202.8</v>
      </c>
      <c r="Y14">
        <v>0.32400000000000001</v>
      </c>
      <c r="Z14">
        <v>1.915</v>
      </c>
      <c r="AA14" s="4">
        <v>0.23599999999999999</v>
      </c>
      <c r="AB14" s="4">
        <v>0.47499999999999998</v>
      </c>
      <c r="AC14" s="4">
        <v>0.18</v>
      </c>
      <c r="AD14" s="12">
        <v>55004.800000000003</v>
      </c>
      <c r="AE14" s="1">
        <v>-14184.438</v>
      </c>
      <c r="AF14" s="13">
        <f t="shared" si="0"/>
        <v>242</v>
      </c>
      <c r="AG14" s="4">
        <f t="shared" si="1"/>
        <v>2.4188604250065895</v>
      </c>
      <c r="AH14" s="5">
        <f t="shared" si="2"/>
        <v>0.30311686086228373</v>
      </c>
      <c r="AI14" s="4">
        <f t="shared" si="3"/>
        <v>0.50285785097417079</v>
      </c>
      <c r="AJ14" s="4">
        <f t="shared" si="4"/>
        <v>0.41861683027522079</v>
      </c>
      <c r="AK14" s="14">
        <f t="shared" si="5"/>
        <v>55281.39595521264</v>
      </c>
      <c r="AL14" s="14">
        <f t="shared" si="6"/>
        <v>-14243.816444747954</v>
      </c>
      <c r="AM14" s="15">
        <f t="shared" si="7"/>
        <v>1.0050285785097417</v>
      </c>
      <c r="AN14" s="15">
        <f t="shared" si="8"/>
        <v>1.0041861683027522</v>
      </c>
    </row>
    <row r="15" spans="1:40" x14ac:dyDescent="0.2">
      <c r="A15">
        <v>158598</v>
      </c>
      <c r="B15">
        <v>1996</v>
      </c>
      <c r="C15">
        <v>192</v>
      </c>
      <c r="D15" t="s">
        <v>43</v>
      </c>
      <c r="E15" t="s">
        <v>44</v>
      </c>
      <c r="F15">
        <v>3413</v>
      </c>
      <c r="G15" s="1">
        <v>231.9</v>
      </c>
      <c r="H15">
        <v>336</v>
      </c>
      <c r="I15" s="2">
        <v>43347</v>
      </c>
      <c r="J15">
        <v>1697</v>
      </c>
      <c r="K15">
        <v>0</v>
      </c>
      <c r="L15" s="1">
        <v>57.2</v>
      </c>
      <c r="M15" s="1">
        <v>953.7</v>
      </c>
      <c r="N15" s="1">
        <v>60</v>
      </c>
      <c r="O15" s="3">
        <v>1.5460000000000001E-3</v>
      </c>
      <c r="P15" s="4">
        <v>1.1779999999999999</v>
      </c>
      <c r="Q15" s="4">
        <v>0.13400000000000001</v>
      </c>
      <c r="R15" s="1">
        <v>327.7</v>
      </c>
      <c r="S15" s="1">
        <v>178</v>
      </c>
      <c r="T15" s="1">
        <v>72.400000000000006</v>
      </c>
      <c r="U15" s="1">
        <v>105.6</v>
      </c>
      <c r="V15" s="1">
        <v>131.6</v>
      </c>
      <c r="W15" s="1">
        <v>185.9</v>
      </c>
      <c r="X15" s="1">
        <v>94.4</v>
      </c>
      <c r="Y15">
        <v>0.19600000000000001</v>
      </c>
      <c r="Z15">
        <v>1.278</v>
      </c>
      <c r="AA15" s="4">
        <v>0.23100000000000001</v>
      </c>
      <c r="AB15" s="4">
        <v>0.73299999999999998</v>
      </c>
      <c r="AC15" s="4">
        <v>0.27900000000000003</v>
      </c>
      <c r="AD15" s="12">
        <v>28909.3</v>
      </c>
      <c r="AE15" s="1">
        <v>-3890.7685999999999</v>
      </c>
      <c r="AF15" s="13">
        <f t="shared" si="0"/>
        <v>243</v>
      </c>
      <c r="AG15" s="4">
        <f t="shared" si="1"/>
        <v>2.4665650888628443</v>
      </c>
      <c r="AH15" s="5">
        <f t="shared" si="2"/>
        <v>0.30909491887964907</v>
      </c>
      <c r="AI15" s="4">
        <f t="shared" si="3"/>
        <v>0.51428293611521891</v>
      </c>
      <c r="AJ15" s="4">
        <f t="shared" si="4"/>
        <v>0.42932263547561955</v>
      </c>
      <c r="AK15" s="14">
        <f t="shared" si="5"/>
        <v>29057.975596850356</v>
      </c>
      <c r="AL15" s="14">
        <f t="shared" si="6"/>
        <v>-3907.4725502937777</v>
      </c>
      <c r="AM15" s="15">
        <f t="shared" si="7"/>
        <v>1.0051428293611522</v>
      </c>
      <c r="AN15" s="15">
        <f t="shared" si="8"/>
        <v>1.0042932263547562</v>
      </c>
    </row>
    <row r="16" spans="1:40" x14ac:dyDescent="0.2">
      <c r="A16">
        <v>158598</v>
      </c>
      <c r="B16">
        <v>1996</v>
      </c>
      <c r="C16">
        <v>192</v>
      </c>
      <c r="D16" t="s">
        <v>43</v>
      </c>
      <c r="E16" t="s">
        <v>45</v>
      </c>
      <c r="F16">
        <v>3413</v>
      </c>
      <c r="G16" s="1">
        <v>790.7</v>
      </c>
      <c r="H16">
        <v>504</v>
      </c>
      <c r="I16" s="2">
        <v>43347</v>
      </c>
      <c r="J16">
        <v>1698</v>
      </c>
      <c r="K16">
        <v>0</v>
      </c>
      <c r="L16" s="1">
        <v>85.7</v>
      </c>
      <c r="M16" s="1">
        <v>852.7</v>
      </c>
      <c r="N16" s="1">
        <v>107.7</v>
      </c>
      <c r="O16" s="3">
        <v>1.4411999999999999E-2</v>
      </c>
      <c r="P16" s="4">
        <v>1.0589999999999999</v>
      </c>
      <c r="Q16" s="4">
        <v>0.20399999999999999</v>
      </c>
      <c r="R16" s="1">
        <v>270.3</v>
      </c>
      <c r="S16" s="1">
        <v>710.9</v>
      </c>
      <c r="T16" s="1">
        <v>286.7</v>
      </c>
      <c r="U16" s="1">
        <v>424.3</v>
      </c>
      <c r="V16" s="1">
        <v>202.6</v>
      </c>
      <c r="W16" s="1">
        <v>225.9</v>
      </c>
      <c r="X16" s="1">
        <v>186.8</v>
      </c>
      <c r="Y16">
        <v>0.29099999999999998</v>
      </c>
      <c r="Z16">
        <v>1.427</v>
      </c>
      <c r="AA16" s="4">
        <v>0.28999999999999998</v>
      </c>
      <c r="AB16" s="4">
        <v>0.65400000000000003</v>
      </c>
      <c r="AC16" s="4">
        <v>0.28699999999999998</v>
      </c>
      <c r="AD16" s="12">
        <v>41589</v>
      </c>
      <c r="AE16" s="1">
        <v>-9872.0185999999994</v>
      </c>
      <c r="AF16" s="13">
        <f t="shared" si="0"/>
        <v>243</v>
      </c>
      <c r="AG16" s="4">
        <f t="shared" si="1"/>
        <v>2.4665650888628443</v>
      </c>
      <c r="AH16" s="5">
        <f t="shared" si="2"/>
        <v>0.30909491887964907</v>
      </c>
      <c r="AI16" s="4">
        <f t="shared" si="3"/>
        <v>0.51428293611521891</v>
      </c>
      <c r="AJ16" s="4">
        <f t="shared" si="4"/>
        <v>0.42932263547561955</v>
      </c>
      <c r="AK16" s="14">
        <f t="shared" si="5"/>
        <v>41802.885130300958</v>
      </c>
      <c r="AL16" s="14">
        <f t="shared" si="6"/>
        <v>-9914.4014104281632</v>
      </c>
      <c r="AM16" s="15">
        <f t="shared" si="7"/>
        <v>1.0051428293611522</v>
      </c>
      <c r="AN16" s="15">
        <f t="shared" si="8"/>
        <v>1.0042932263547562</v>
      </c>
    </row>
    <row r="17" spans="1:40" x14ac:dyDescent="0.2">
      <c r="A17">
        <v>158628</v>
      </c>
      <c r="B17">
        <v>1995</v>
      </c>
      <c r="C17">
        <v>193</v>
      </c>
      <c r="D17" t="s">
        <v>43</v>
      </c>
      <c r="E17" t="s">
        <v>41</v>
      </c>
      <c r="F17">
        <v>3413</v>
      </c>
      <c r="G17" s="1">
        <v>262.60000000000002</v>
      </c>
      <c r="H17">
        <v>336</v>
      </c>
      <c r="I17" s="2">
        <v>43349</v>
      </c>
      <c r="J17">
        <v>1701</v>
      </c>
      <c r="K17">
        <v>0</v>
      </c>
      <c r="L17" s="1">
        <v>53.3</v>
      </c>
      <c r="M17" s="1">
        <v>908.1</v>
      </c>
      <c r="N17" s="1">
        <v>63.7</v>
      </c>
      <c r="O17" s="3">
        <v>1.5629999999999999E-3</v>
      </c>
      <c r="P17" s="4">
        <v>1.095</v>
      </c>
      <c r="Q17" s="4">
        <v>0.121</v>
      </c>
      <c r="R17" s="1">
        <v>267.7</v>
      </c>
      <c r="S17" s="1">
        <v>212.9</v>
      </c>
      <c r="T17" s="1">
        <v>86.4</v>
      </c>
      <c r="U17" s="1">
        <v>126.5</v>
      </c>
      <c r="V17" s="1">
        <v>113.1</v>
      </c>
      <c r="W17" s="1">
        <v>157.5</v>
      </c>
      <c r="X17" s="1">
        <v>82.8</v>
      </c>
      <c r="Y17">
        <v>0.17</v>
      </c>
      <c r="Z17">
        <v>1.333</v>
      </c>
      <c r="AA17" s="4">
        <v>0.20300000000000001</v>
      </c>
      <c r="AB17" s="4">
        <v>0.71299999999999997</v>
      </c>
      <c r="AC17" s="4">
        <v>0.26300000000000001</v>
      </c>
      <c r="AD17" s="12">
        <v>20477.099999999999</v>
      </c>
      <c r="AE17" s="1">
        <v>-2346.2483000000002</v>
      </c>
      <c r="AF17" s="13">
        <f t="shared" si="0"/>
        <v>245</v>
      </c>
      <c r="AG17" s="4">
        <f t="shared" si="1"/>
        <v>2.5648154597125212</v>
      </c>
      <c r="AH17" s="5">
        <f t="shared" si="2"/>
        <v>0.32140705714220641</v>
      </c>
      <c r="AI17" s="4">
        <f t="shared" si="3"/>
        <v>0.5378135253984706</v>
      </c>
      <c r="AJ17" s="4">
        <f t="shared" si="4"/>
        <v>0.45137182828312039</v>
      </c>
      <c r="AK17" s="14">
        <f t="shared" si="5"/>
        <v>20587.22861340937</v>
      </c>
      <c r="AL17" s="14">
        <f t="shared" si="6"/>
        <v>-2356.838603847772</v>
      </c>
      <c r="AM17" s="15">
        <f t="shared" si="7"/>
        <v>1.0053781352539848</v>
      </c>
      <c r="AN17" s="15">
        <f t="shared" si="8"/>
        <v>1.0045137182828312</v>
      </c>
    </row>
    <row r="18" spans="1:40" x14ac:dyDescent="0.2">
      <c r="A18">
        <v>158628</v>
      </c>
      <c r="B18">
        <v>1995</v>
      </c>
      <c r="C18">
        <v>193</v>
      </c>
      <c r="D18" t="s">
        <v>43</v>
      </c>
      <c r="E18" t="s">
        <v>42</v>
      </c>
      <c r="F18">
        <v>3413</v>
      </c>
      <c r="G18" s="1">
        <v>871.1</v>
      </c>
      <c r="H18">
        <v>504</v>
      </c>
      <c r="I18" s="2">
        <v>43349</v>
      </c>
      <c r="J18">
        <v>1702</v>
      </c>
      <c r="K18">
        <v>0</v>
      </c>
      <c r="L18" s="1">
        <v>80.5</v>
      </c>
      <c r="M18" s="1">
        <v>821</v>
      </c>
      <c r="N18" s="1">
        <v>112.1</v>
      </c>
      <c r="O18" s="3">
        <v>1.6625000000000001E-2</v>
      </c>
      <c r="P18" s="4">
        <v>0.92</v>
      </c>
      <c r="Q18" s="4">
        <v>0.20599999999999999</v>
      </c>
      <c r="R18" s="1">
        <v>227.3</v>
      </c>
      <c r="S18" s="1">
        <v>796.6</v>
      </c>
      <c r="T18" s="1">
        <v>321</v>
      </c>
      <c r="U18" s="1">
        <v>475.6</v>
      </c>
      <c r="V18" s="1">
        <v>169.9</v>
      </c>
      <c r="W18" s="1">
        <v>190.5</v>
      </c>
      <c r="X18" s="1">
        <v>156.1</v>
      </c>
      <c r="Y18">
        <v>0.25</v>
      </c>
      <c r="Z18">
        <v>1.4630000000000001</v>
      </c>
      <c r="AA18" s="4">
        <v>0.248</v>
      </c>
      <c r="AB18" s="4">
        <v>0.65100000000000002</v>
      </c>
      <c r="AC18" s="4">
        <v>0.26500000000000001</v>
      </c>
      <c r="AD18" s="12">
        <v>32720.1</v>
      </c>
      <c r="AE18" s="1">
        <v>-7413.5352000000003</v>
      </c>
      <c r="AF18" s="13">
        <f t="shared" si="0"/>
        <v>245</v>
      </c>
      <c r="AG18" s="4">
        <f t="shared" si="1"/>
        <v>2.5648154597125212</v>
      </c>
      <c r="AH18" s="5">
        <f t="shared" si="2"/>
        <v>0.32140705714220641</v>
      </c>
      <c r="AI18" s="4">
        <f t="shared" si="3"/>
        <v>0.5378135253984706</v>
      </c>
      <c r="AJ18" s="4">
        <f t="shared" si="4"/>
        <v>0.45137182828312039</v>
      </c>
      <c r="AK18" s="14">
        <f t="shared" si="5"/>
        <v>32896.073123323906</v>
      </c>
      <c r="AL18" s="14">
        <f t="shared" si="6"/>
        <v>-7446.9978093726531</v>
      </c>
      <c r="AM18" s="15">
        <f t="shared" si="7"/>
        <v>1.0053781352539848</v>
      </c>
      <c r="AN18" s="15">
        <f t="shared" si="8"/>
        <v>1.0045137182828312</v>
      </c>
    </row>
    <row r="19" spans="1:40" x14ac:dyDescent="0.2">
      <c r="A19">
        <v>158630</v>
      </c>
      <c r="B19">
        <v>1998</v>
      </c>
      <c r="C19">
        <v>194</v>
      </c>
      <c r="D19" t="s">
        <v>43</v>
      </c>
      <c r="E19" t="s">
        <v>41</v>
      </c>
      <c r="F19">
        <v>3413</v>
      </c>
      <c r="G19">
        <v>305.7</v>
      </c>
      <c r="H19">
        <v>336</v>
      </c>
      <c r="I19" s="2">
        <v>43349</v>
      </c>
      <c r="J19">
        <v>1706</v>
      </c>
      <c r="K19">
        <v>0</v>
      </c>
      <c r="L19">
        <v>65.400000000000006</v>
      </c>
      <c r="M19">
        <v>907.8</v>
      </c>
      <c r="N19">
        <v>71.8</v>
      </c>
      <c r="O19">
        <v>7.2099999999999996E-4</v>
      </c>
      <c r="P19">
        <v>1.149</v>
      </c>
      <c r="Q19">
        <v>0.10199999999999999</v>
      </c>
      <c r="R19">
        <v>282.5</v>
      </c>
      <c r="S19">
        <v>244.3</v>
      </c>
      <c r="T19">
        <v>99.2</v>
      </c>
      <c r="U19">
        <v>145.1</v>
      </c>
      <c r="V19">
        <v>120.1</v>
      </c>
      <c r="W19">
        <v>171.3</v>
      </c>
      <c r="X19">
        <v>85.1</v>
      </c>
      <c r="Y19">
        <v>0.16700000000000001</v>
      </c>
      <c r="Z19">
        <v>1.3520000000000001</v>
      </c>
      <c r="AA19">
        <v>0.20699999999999999</v>
      </c>
      <c r="AB19">
        <v>0.71499999999999997</v>
      </c>
      <c r="AC19">
        <v>0.28199999999999997</v>
      </c>
      <c r="AD19" s="12">
        <v>28670.3</v>
      </c>
      <c r="AE19" s="1">
        <v>-3863.0160999999998</v>
      </c>
      <c r="AF19" s="13">
        <f t="shared" si="0"/>
        <v>245</v>
      </c>
      <c r="AG19" s="4">
        <f t="shared" si="1"/>
        <v>2.5648154597125212</v>
      </c>
      <c r="AH19" s="5">
        <f t="shared" si="2"/>
        <v>0.32140705714220641</v>
      </c>
      <c r="AI19" s="4">
        <f t="shared" si="3"/>
        <v>0.5378135253984706</v>
      </c>
      <c r="AJ19" s="4">
        <f t="shared" si="4"/>
        <v>0.45137182828312039</v>
      </c>
      <c r="AK19" s="14">
        <f t="shared" si="5"/>
        <v>28824.492751172318</v>
      </c>
      <c r="AL19" s="14">
        <f t="shared" si="6"/>
        <v>-3880.4526663974411</v>
      </c>
      <c r="AM19" s="15">
        <f t="shared" si="7"/>
        <v>1.0053781352539848</v>
      </c>
      <c r="AN19" s="15">
        <f t="shared" si="8"/>
        <v>1.0045137182828312</v>
      </c>
    </row>
    <row r="20" spans="1:40" x14ac:dyDescent="0.2">
      <c r="A20">
        <v>158630</v>
      </c>
      <c r="B20">
        <v>1998</v>
      </c>
      <c r="C20">
        <v>194</v>
      </c>
      <c r="D20" t="s">
        <v>43</v>
      </c>
      <c r="E20" t="s">
        <v>42</v>
      </c>
      <c r="F20">
        <v>3413</v>
      </c>
      <c r="G20" s="1">
        <v>988.1</v>
      </c>
      <c r="H20">
        <v>504</v>
      </c>
      <c r="I20" s="2">
        <v>43349</v>
      </c>
      <c r="J20">
        <v>1707</v>
      </c>
      <c r="K20">
        <v>0</v>
      </c>
      <c r="L20" s="1">
        <v>100.9</v>
      </c>
      <c r="M20" s="1">
        <v>888.7</v>
      </c>
      <c r="N20" s="1">
        <v>118.6</v>
      </c>
      <c r="O20" s="3">
        <v>4.9459999999999999E-3</v>
      </c>
      <c r="P20" s="4">
        <v>1.103</v>
      </c>
      <c r="Q20" s="4">
        <v>0.185</v>
      </c>
      <c r="R20" s="1">
        <v>256.5</v>
      </c>
      <c r="S20" s="1">
        <v>893.5</v>
      </c>
      <c r="T20" s="1">
        <v>359.8</v>
      </c>
      <c r="U20" s="1">
        <v>533.70000000000005</v>
      </c>
      <c r="V20" s="1">
        <v>187.2</v>
      </c>
      <c r="W20" s="1">
        <v>203.6</v>
      </c>
      <c r="X20" s="1">
        <v>176.1</v>
      </c>
      <c r="Y20">
        <v>0.27800000000000002</v>
      </c>
      <c r="Z20">
        <v>1.462</v>
      </c>
      <c r="AA20" s="4">
        <v>0.25600000000000001</v>
      </c>
      <c r="AB20" s="4">
        <v>0.64700000000000002</v>
      </c>
      <c r="AC20" s="4">
        <v>0.28699999999999998</v>
      </c>
      <c r="AD20" s="12">
        <v>48068.1</v>
      </c>
      <c r="AE20" s="1">
        <v>-11370.664000000001</v>
      </c>
      <c r="AF20" s="13">
        <f t="shared" si="0"/>
        <v>245</v>
      </c>
      <c r="AG20" s="4">
        <f t="shared" si="1"/>
        <v>2.5648154597125212</v>
      </c>
      <c r="AH20" s="5">
        <f t="shared" si="2"/>
        <v>0.32140705714220641</v>
      </c>
      <c r="AI20" s="4">
        <f t="shared" si="3"/>
        <v>0.5378135253984706</v>
      </c>
      <c r="AJ20" s="4">
        <f t="shared" si="4"/>
        <v>0.45137182828312039</v>
      </c>
      <c r="AK20" s="14">
        <f t="shared" si="5"/>
        <v>48326.616743202067</v>
      </c>
      <c r="AL20" s="14">
        <f t="shared" si="6"/>
        <v>-11421.987973984731</v>
      </c>
      <c r="AM20" s="15">
        <f t="shared" si="7"/>
        <v>1.0053781352539848</v>
      </c>
      <c r="AN20" s="15">
        <f t="shared" si="8"/>
        <v>1.0045137182828312</v>
      </c>
    </row>
    <row r="21" spans="1:40" x14ac:dyDescent="0.2">
      <c r="A21">
        <v>158633</v>
      </c>
      <c r="B21">
        <v>1996</v>
      </c>
      <c r="C21">
        <v>195</v>
      </c>
      <c r="D21" t="s">
        <v>43</v>
      </c>
      <c r="E21" t="s">
        <v>41</v>
      </c>
      <c r="F21">
        <v>3413</v>
      </c>
      <c r="G21" s="1">
        <v>265</v>
      </c>
      <c r="H21">
        <v>336</v>
      </c>
      <c r="I21" s="2">
        <v>43350</v>
      </c>
      <c r="J21">
        <v>1710</v>
      </c>
      <c r="K21">
        <v>0</v>
      </c>
      <c r="L21" s="1">
        <v>55</v>
      </c>
      <c r="M21" s="1">
        <v>938.3</v>
      </c>
      <c r="N21" s="1">
        <v>63.5</v>
      </c>
      <c r="O21" s="3">
        <v>3.1809999999999998E-3</v>
      </c>
      <c r="P21" s="4">
        <v>1.1200000000000001</v>
      </c>
      <c r="Q21" s="4">
        <v>0.16400000000000001</v>
      </c>
      <c r="R21" s="1">
        <v>290.10000000000002</v>
      </c>
      <c r="S21" s="1">
        <v>213.6</v>
      </c>
      <c r="T21" s="1">
        <v>86.7</v>
      </c>
      <c r="U21" s="1">
        <v>126.8</v>
      </c>
      <c r="V21" s="1">
        <v>128.30000000000001</v>
      </c>
      <c r="W21" s="1">
        <v>187.4</v>
      </c>
      <c r="X21" s="1">
        <v>87.8</v>
      </c>
      <c r="Y21">
        <v>0.18</v>
      </c>
      <c r="Z21">
        <v>1.4359999999999999</v>
      </c>
      <c r="AA21" s="4">
        <v>0.20499999999999999</v>
      </c>
      <c r="AB21" s="4">
        <v>0.67100000000000004</v>
      </c>
      <c r="AC21" s="4">
        <v>0.26600000000000001</v>
      </c>
      <c r="AD21" s="12">
        <v>27929.3</v>
      </c>
      <c r="AE21" s="1">
        <v>-3940.9960999999998</v>
      </c>
      <c r="AF21" s="13">
        <f t="shared" si="0"/>
        <v>246</v>
      </c>
      <c r="AG21" s="4">
        <f t="shared" si="1"/>
        <v>2.6153986426419715</v>
      </c>
      <c r="AH21" s="5">
        <f t="shared" si="2"/>
        <v>0.3277458336435235</v>
      </c>
      <c r="AI21" s="4">
        <f t="shared" si="3"/>
        <v>0.54992800488449278</v>
      </c>
      <c r="AJ21" s="4">
        <f t="shared" si="4"/>
        <v>0.46272362618050411</v>
      </c>
      <c r="AK21" s="14">
        <f t="shared" si="5"/>
        <v>28082.891042268202</v>
      </c>
      <c r="AL21" s="14">
        <f t="shared" si="6"/>
        <v>-3959.2320200615518</v>
      </c>
      <c r="AM21" s="15">
        <f t="shared" si="7"/>
        <v>1.0054992800488449</v>
      </c>
      <c r="AN21" s="15">
        <f t="shared" si="8"/>
        <v>1.0046272362618049</v>
      </c>
    </row>
    <row r="22" spans="1:40" x14ac:dyDescent="0.2">
      <c r="A22">
        <v>158633</v>
      </c>
      <c r="B22">
        <v>1996</v>
      </c>
      <c r="C22">
        <v>195</v>
      </c>
      <c r="D22" t="s">
        <v>43</v>
      </c>
      <c r="E22" t="s">
        <v>42</v>
      </c>
      <c r="F22">
        <v>3413</v>
      </c>
      <c r="G22" s="1">
        <v>804.1</v>
      </c>
      <c r="H22">
        <v>504</v>
      </c>
      <c r="I22" s="2">
        <v>43350</v>
      </c>
      <c r="J22">
        <v>1712</v>
      </c>
      <c r="K22">
        <v>0</v>
      </c>
      <c r="L22" s="1">
        <v>89.8</v>
      </c>
      <c r="M22" s="1">
        <v>854.3</v>
      </c>
      <c r="N22" s="1">
        <v>108.7</v>
      </c>
      <c r="O22" s="3">
        <v>1.6163E-2</v>
      </c>
      <c r="P22" s="4">
        <v>1.0349999999999999</v>
      </c>
      <c r="Q22" s="4">
        <v>0.19400000000000001</v>
      </c>
      <c r="R22" s="1">
        <v>275.5</v>
      </c>
      <c r="S22" s="1">
        <v>720.2</v>
      </c>
      <c r="T22" s="1">
        <v>290.2</v>
      </c>
      <c r="U22" s="1">
        <v>429.9</v>
      </c>
      <c r="V22" s="1">
        <v>205.7</v>
      </c>
      <c r="W22" s="1">
        <v>230</v>
      </c>
      <c r="X22" s="1">
        <v>189.4</v>
      </c>
      <c r="Y22">
        <v>0.29899999999999999</v>
      </c>
      <c r="Z22">
        <v>1.534</v>
      </c>
      <c r="AA22" s="4">
        <v>0.27200000000000002</v>
      </c>
      <c r="AB22" s="4">
        <v>0.62</v>
      </c>
      <c r="AC22" s="4">
        <v>0.27200000000000002</v>
      </c>
      <c r="AD22" s="12">
        <v>42353.5</v>
      </c>
      <c r="AE22" s="1">
        <v>-10079.062</v>
      </c>
      <c r="AF22" s="13">
        <f t="shared" si="0"/>
        <v>246</v>
      </c>
      <c r="AG22" s="4">
        <f t="shared" si="1"/>
        <v>2.6153986426419715</v>
      </c>
      <c r="AH22" s="5">
        <f t="shared" si="2"/>
        <v>0.3277458336435235</v>
      </c>
      <c r="AI22" s="4">
        <f t="shared" si="3"/>
        <v>0.54992800488449278</v>
      </c>
      <c r="AJ22" s="4">
        <f t="shared" si="4"/>
        <v>0.46272362618050411</v>
      </c>
      <c r="AK22" s="14">
        <f t="shared" si="5"/>
        <v>42586.413757548755</v>
      </c>
      <c r="AL22" s="14">
        <f t="shared" si="6"/>
        <v>-10125.700201171379</v>
      </c>
      <c r="AM22" s="15">
        <f t="shared" si="7"/>
        <v>1.0054992800488449</v>
      </c>
      <c r="AN22" s="15">
        <f t="shared" si="8"/>
        <v>1.0046272362618049</v>
      </c>
    </row>
    <row r="23" spans="1:40" x14ac:dyDescent="0.2">
      <c r="A23">
        <v>100918</v>
      </c>
      <c r="B23">
        <v>1997</v>
      </c>
      <c r="C23">
        <v>196</v>
      </c>
      <c r="D23" t="s">
        <v>43</v>
      </c>
      <c r="E23" t="s">
        <v>41</v>
      </c>
      <c r="F23">
        <v>3413</v>
      </c>
      <c r="G23" s="1">
        <v>249.8</v>
      </c>
      <c r="H23">
        <v>336</v>
      </c>
      <c r="I23" s="2">
        <v>43353</v>
      </c>
      <c r="J23">
        <v>1718</v>
      </c>
      <c r="K23">
        <v>0</v>
      </c>
      <c r="L23" s="1">
        <v>62.5</v>
      </c>
      <c r="M23" s="1">
        <v>947</v>
      </c>
      <c r="N23" s="1">
        <v>64.900000000000006</v>
      </c>
      <c r="O23" s="3">
        <v>2.996E-3</v>
      </c>
      <c r="P23" s="4">
        <v>1.1819999999999999</v>
      </c>
      <c r="Q23" s="4">
        <v>0.14599999999999999</v>
      </c>
      <c r="R23" s="1">
        <v>377.3</v>
      </c>
      <c r="S23" s="1">
        <v>190.8</v>
      </c>
      <c r="T23" s="1">
        <v>77.7</v>
      </c>
      <c r="U23" s="1">
        <v>113.1</v>
      </c>
      <c r="V23" s="1">
        <v>194.8</v>
      </c>
      <c r="W23" s="1">
        <v>242.7</v>
      </c>
      <c r="X23" s="1">
        <v>161.9</v>
      </c>
      <c r="Y23">
        <v>0.28000000000000003</v>
      </c>
      <c r="Z23">
        <v>1.7270000000000001</v>
      </c>
      <c r="AA23" s="4">
        <v>0.23</v>
      </c>
      <c r="AB23" s="4">
        <v>0.51200000000000001</v>
      </c>
      <c r="AC23" s="4">
        <v>0.17299999999999999</v>
      </c>
      <c r="AD23" s="12">
        <v>38196.9</v>
      </c>
      <c r="AE23" s="1">
        <v>-6022.1171999999997</v>
      </c>
      <c r="AF23" s="13">
        <f t="shared" si="0"/>
        <v>249</v>
      </c>
      <c r="AG23" s="4">
        <f t="shared" si="1"/>
        <v>2.7732128743811248</v>
      </c>
      <c r="AH23" s="5">
        <f t="shared" si="2"/>
        <v>0.34752215228912486</v>
      </c>
      <c r="AI23" s="4">
        <f t="shared" si="3"/>
        <v>0.58772391179040673</v>
      </c>
      <c r="AJ23" s="4">
        <f t="shared" si="4"/>
        <v>0.49814004642697929</v>
      </c>
      <c r="AK23" s="14">
        <f t="shared" si="5"/>
        <v>38421.392314862671</v>
      </c>
      <c r="AL23" s="14">
        <f t="shared" si="6"/>
        <v>-6052.1157774159674</v>
      </c>
      <c r="AM23" s="15">
        <f t="shared" si="7"/>
        <v>1.0058772391179041</v>
      </c>
      <c r="AN23" s="15">
        <f t="shared" si="8"/>
        <v>1.0049814004642699</v>
      </c>
    </row>
    <row r="24" spans="1:40" x14ac:dyDescent="0.2">
      <c r="A24">
        <v>100918</v>
      </c>
      <c r="B24">
        <v>1997</v>
      </c>
      <c r="C24">
        <v>196</v>
      </c>
      <c r="D24" t="s">
        <v>43</v>
      </c>
      <c r="E24" t="s">
        <v>42</v>
      </c>
      <c r="F24">
        <v>3413</v>
      </c>
      <c r="G24" s="1">
        <v>876.1</v>
      </c>
      <c r="H24">
        <v>495</v>
      </c>
      <c r="I24" s="2">
        <v>43353</v>
      </c>
      <c r="J24">
        <v>1719</v>
      </c>
      <c r="K24">
        <v>0</v>
      </c>
      <c r="L24" s="1">
        <v>112.1</v>
      </c>
      <c r="M24" s="1">
        <v>881.7</v>
      </c>
      <c r="N24" s="1">
        <v>112.7</v>
      </c>
      <c r="O24" s="3">
        <v>1.2662E-2</v>
      </c>
      <c r="P24" s="4">
        <v>1.2330000000000001</v>
      </c>
      <c r="Q24" s="4">
        <v>0.192</v>
      </c>
      <c r="R24" s="1">
        <v>333.5</v>
      </c>
      <c r="S24" s="1">
        <v>776.2</v>
      </c>
      <c r="T24" s="1">
        <v>312.8</v>
      </c>
      <c r="U24" s="1">
        <v>463.4</v>
      </c>
      <c r="V24" s="1">
        <v>256.89999999999998</v>
      </c>
      <c r="W24" s="1">
        <v>270.10000000000002</v>
      </c>
      <c r="X24" s="1">
        <v>247.9</v>
      </c>
      <c r="Y24">
        <v>0.36599999999999999</v>
      </c>
      <c r="Z24">
        <v>1.8149999999999999</v>
      </c>
      <c r="AA24" s="4">
        <v>0.30099999999999999</v>
      </c>
      <c r="AB24" s="4">
        <v>0.49099999999999999</v>
      </c>
      <c r="AC24" s="4">
        <v>0.2</v>
      </c>
      <c r="AD24" s="12">
        <v>64072.4</v>
      </c>
      <c r="AE24" s="1">
        <v>-16587.905999999999</v>
      </c>
      <c r="AF24" s="13">
        <f t="shared" si="0"/>
        <v>249</v>
      </c>
      <c r="AG24" s="4">
        <f t="shared" si="1"/>
        <v>2.7732128743811248</v>
      </c>
      <c r="AH24" s="5">
        <f t="shared" si="2"/>
        <v>0.34752215228912486</v>
      </c>
      <c r="AI24" s="4">
        <f t="shared" si="3"/>
        <v>0.58772391179040673</v>
      </c>
      <c r="AJ24" s="4">
        <f t="shared" si="4"/>
        <v>0.49814004642697929</v>
      </c>
      <c r="AK24" s="14">
        <f t="shared" si="5"/>
        <v>64448.968815657994</v>
      </c>
      <c r="AL24" s="14">
        <f t="shared" si="6"/>
        <v>-16670.537002649664</v>
      </c>
      <c r="AM24" s="15">
        <f t="shared" si="7"/>
        <v>1.0058772391179041</v>
      </c>
      <c r="AN24" s="15">
        <f t="shared" si="8"/>
        <v>1.0049814004642699</v>
      </c>
    </row>
    <row r="25" spans="1:40" x14ac:dyDescent="0.2">
      <c r="A25">
        <v>158646</v>
      </c>
      <c r="B25">
        <v>1998</v>
      </c>
      <c r="C25">
        <v>197</v>
      </c>
      <c r="D25" t="s">
        <v>43</v>
      </c>
      <c r="E25" t="s">
        <v>41</v>
      </c>
      <c r="F25">
        <v>3413</v>
      </c>
      <c r="G25" s="1">
        <v>283.7</v>
      </c>
      <c r="H25">
        <v>336</v>
      </c>
      <c r="I25" s="2">
        <v>43354</v>
      </c>
      <c r="J25">
        <v>1722</v>
      </c>
      <c r="K25">
        <v>0</v>
      </c>
      <c r="L25" s="1">
        <v>64.3</v>
      </c>
      <c r="M25" s="1">
        <v>943.7</v>
      </c>
      <c r="N25" s="1">
        <v>67.2</v>
      </c>
      <c r="O25" s="3">
        <v>1.56E-3</v>
      </c>
      <c r="P25" s="4">
        <v>1.173</v>
      </c>
      <c r="Q25" s="4">
        <v>0.14399999999999999</v>
      </c>
      <c r="R25" s="1">
        <v>322</v>
      </c>
      <c r="S25" s="1">
        <v>223.2</v>
      </c>
      <c r="T25" s="1">
        <v>90.6</v>
      </c>
      <c r="U25" s="1">
        <v>132.6</v>
      </c>
      <c r="V25" s="1">
        <v>147.5</v>
      </c>
      <c r="W25" s="1">
        <v>198.7</v>
      </c>
      <c r="X25" s="1">
        <v>112.5</v>
      </c>
      <c r="Y25">
        <v>0.20499999999999999</v>
      </c>
      <c r="Z25">
        <v>1.647</v>
      </c>
      <c r="AA25" s="4">
        <v>0.20699999999999999</v>
      </c>
      <c r="AB25" s="4">
        <v>0.57499999999999996</v>
      </c>
      <c r="AC25" s="4">
        <v>0.20100000000000001</v>
      </c>
      <c r="AD25" s="12">
        <v>34527.4</v>
      </c>
      <c r="AE25" s="1">
        <v>-5307.5806000000002</v>
      </c>
      <c r="AF25" s="13">
        <f t="shared" si="0"/>
        <v>250</v>
      </c>
      <c r="AG25" s="4">
        <f t="shared" si="1"/>
        <v>2.8279060623825898</v>
      </c>
      <c r="AH25" s="5">
        <f t="shared" si="2"/>
        <v>0.35437596960167594</v>
      </c>
      <c r="AI25" s="4">
        <f t="shared" si="3"/>
        <v>0.60082272182363505</v>
      </c>
      <c r="AJ25" s="4">
        <f t="shared" si="4"/>
        <v>0.51041420516116143</v>
      </c>
      <c r="AK25" s="14">
        <f t="shared" si="5"/>
        <v>34734.848464454932</v>
      </c>
      <c r="AL25" s="14">
        <f t="shared" si="6"/>
        <v>-5334.6712453327782</v>
      </c>
      <c r="AM25" s="15">
        <f t="shared" si="7"/>
        <v>1.0060082272182362</v>
      </c>
      <c r="AN25" s="15">
        <f t="shared" si="8"/>
        <v>1.0051041420516116</v>
      </c>
    </row>
    <row r="26" spans="1:40" x14ac:dyDescent="0.2">
      <c r="A26">
        <v>158646</v>
      </c>
      <c r="B26">
        <v>1998</v>
      </c>
      <c r="C26">
        <v>197</v>
      </c>
      <c r="D26" t="s">
        <v>43</v>
      </c>
      <c r="E26" t="s">
        <v>42</v>
      </c>
      <c r="F26">
        <v>3413</v>
      </c>
      <c r="G26" s="1">
        <v>880.7</v>
      </c>
      <c r="H26">
        <v>504</v>
      </c>
      <c r="I26" s="2">
        <v>43354</v>
      </c>
      <c r="J26">
        <v>1724</v>
      </c>
      <c r="K26">
        <v>0</v>
      </c>
      <c r="L26" s="1">
        <v>86.9</v>
      </c>
      <c r="M26" s="1">
        <v>888.1</v>
      </c>
      <c r="N26" s="1">
        <v>111.4</v>
      </c>
      <c r="O26" s="3">
        <v>9.3849999999999992E-3</v>
      </c>
      <c r="P26" s="4">
        <v>1.0169999999999999</v>
      </c>
      <c r="Q26" s="4">
        <v>0.17699999999999999</v>
      </c>
      <c r="R26" s="1">
        <v>273.8</v>
      </c>
      <c r="S26" s="1">
        <v>799.6</v>
      </c>
      <c r="T26" s="1">
        <v>322</v>
      </c>
      <c r="U26" s="1">
        <v>477.5</v>
      </c>
      <c r="V26" s="1">
        <v>209.4</v>
      </c>
      <c r="W26" s="1">
        <v>231.8</v>
      </c>
      <c r="X26" s="1">
        <v>194.2</v>
      </c>
      <c r="Y26">
        <v>0.30299999999999999</v>
      </c>
      <c r="Z26">
        <v>1.7809999999999999</v>
      </c>
      <c r="AA26" s="4">
        <v>0.24399999999999999</v>
      </c>
      <c r="AB26" s="4">
        <v>0.51300000000000001</v>
      </c>
      <c r="AC26" s="4">
        <v>0.20100000000000001</v>
      </c>
      <c r="AD26" s="12">
        <v>46832.4</v>
      </c>
      <c r="AE26" s="1">
        <v>-11655.315000000001</v>
      </c>
      <c r="AF26" s="13">
        <f t="shared" si="0"/>
        <v>250</v>
      </c>
      <c r="AG26" s="4">
        <f t="shared" si="1"/>
        <v>2.8279060623825898</v>
      </c>
      <c r="AH26" s="5">
        <f t="shared" si="2"/>
        <v>0.35437596960167594</v>
      </c>
      <c r="AI26" s="4">
        <f t="shared" si="3"/>
        <v>0.60082272182363505</v>
      </c>
      <c r="AJ26" s="4">
        <f t="shared" si="4"/>
        <v>0.51041420516116143</v>
      </c>
      <c r="AK26" s="14">
        <f t="shared" si="5"/>
        <v>47113.779700375329</v>
      </c>
      <c r="AL26" s="14">
        <f t="shared" si="6"/>
        <v>-11714.80538341628</v>
      </c>
      <c r="AM26" s="15">
        <f t="shared" si="7"/>
        <v>1.0060082272182362</v>
      </c>
      <c r="AN26" s="15">
        <f t="shared" si="8"/>
        <v>1.0051041420516116</v>
      </c>
    </row>
    <row r="27" spans="1:40" x14ac:dyDescent="0.2">
      <c r="A27">
        <v>158650</v>
      </c>
      <c r="B27">
        <v>1996</v>
      </c>
      <c r="C27">
        <v>198</v>
      </c>
      <c r="D27" t="s">
        <v>40</v>
      </c>
      <c r="E27" t="s">
        <v>41</v>
      </c>
      <c r="F27">
        <v>3413</v>
      </c>
      <c r="G27" s="1">
        <v>383.2</v>
      </c>
      <c r="H27">
        <v>336</v>
      </c>
      <c r="I27" s="2">
        <v>43355</v>
      </c>
      <c r="J27">
        <v>1726</v>
      </c>
      <c r="K27">
        <v>0</v>
      </c>
      <c r="L27" s="1">
        <v>78</v>
      </c>
      <c r="M27" s="1">
        <v>915.9</v>
      </c>
      <c r="N27" s="1">
        <v>77.099999999999994</v>
      </c>
      <c r="O27" s="3">
        <v>1.2199999999999999E-3</v>
      </c>
      <c r="P27" s="4">
        <v>1.288</v>
      </c>
      <c r="Q27" s="4">
        <v>0.126</v>
      </c>
      <c r="R27" s="1">
        <v>338.8</v>
      </c>
      <c r="S27" s="1">
        <v>309.60000000000002</v>
      </c>
      <c r="T27" s="1">
        <v>125.4</v>
      </c>
      <c r="U27" s="1">
        <v>184.2</v>
      </c>
      <c r="V27" s="1">
        <v>196.6</v>
      </c>
      <c r="W27" s="1">
        <v>237.2</v>
      </c>
      <c r="X27" s="1">
        <v>168.9</v>
      </c>
      <c r="Y27">
        <v>0.28499999999999998</v>
      </c>
      <c r="Z27">
        <v>1.706</v>
      </c>
      <c r="AA27" s="4">
        <v>0.23899999999999999</v>
      </c>
      <c r="AB27" s="4">
        <v>0.54200000000000004</v>
      </c>
      <c r="AC27" s="4">
        <v>0.215</v>
      </c>
      <c r="AD27" s="12">
        <v>45923.6</v>
      </c>
      <c r="AE27" s="1">
        <v>-6694.3940000000002</v>
      </c>
      <c r="AF27" s="13">
        <f t="shared" si="0"/>
        <v>251</v>
      </c>
      <c r="AG27" s="4">
        <f t="shared" si="1"/>
        <v>2.8836779071440191</v>
      </c>
      <c r="AH27" s="5">
        <f t="shared" si="2"/>
        <v>0.36136495761182003</v>
      </c>
      <c r="AI27" s="4">
        <f t="shared" si="3"/>
        <v>0.61417986603898211</v>
      </c>
      <c r="AJ27" s="4">
        <f t="shared" si="4"/>
        <v>0.52293043433912789</v>
      </c>
      <c r="AK27" s="14">
        <f t="shared" si="5"/>
        <v>46205.653504960275</v>
      </c>
      <c r="AL27" s="14">
        <f t="shared" si="6"/>
        <v>-6729.4010236205731</v>
      </c>
      <c r="AM27" s="15">
        <f t="shared" si="7"/>
        <v>1.0061417986603898</v>
      </c>
      <c r="AN27" s="15">
        <f t="shared" si="8"/>
        <v>1.0052293043433913</v>
      </c>
    </row>
    <row r="28" spans="1:40" x14ac:dyDescent="0.2">
      <c r="A28">
        <v>158650</v>
      </c>
      <c r="B28">
        <v>1996</v>
      </c>
      <c r="C28">
        <v>198</v>
      </c>
      <c r="D28" t="s">
        <v>40</v>
      </c>
      <c r="E28" t="s">
        <v>42</v>
      </c>
      <c r="F28">
        <v>3413</v>
      </c>
      <c r="G28" s="1">
        <v>1138.8</v>
      </c>
      <c r="H28">
        <v>504</v>
      </c>
      <c r="I28" s="2">
        <v>43355</v>
      </c>
      <c r="J28">
        <v>1729</v>
      </c>
      <c r="K28">
        <v>0</v>
      </c>
      <c r="L28" s="1">
        <v>151</v>
      </c>
      <c r="M28" s="1">
        <v>882.3</v>
      </c>
      <c r="N28" s="1">
        <v>125.7</v>
      </c>
      <c r="O28" s="3">
        <v>1.7957999999999998E-2</v>
      </c>
      <c r="P28" s="4">
        <v>1.59</v>
      </c>
      <c r="Q28" s="4">
        <v>0.218</v>
      </c>
      <c r="R28" s="1">
        <v>333.9</v>
      </c>
      <c r="S28" s="1">
        <v>994.7</v>
      </c>
      <c r="T28" s="1">
        <v>400.3</v>
      </c>
      <c r="U28" s="1">
        <v>594.4</v>
      </c>
      <c r="V28" s="1">
        <v>252.2</v>
      </c>
      <c r="W28" s="1">
        <v>284.5</v>
      </c>
      <c r="X28" s="1">
        <v>230.4</v>
      </c>
      <c r="Y28">
        <v>0.36799999999999999</v>
      </c>
      <c r="Z28">
        <v>1.905</v>
      </c>
      <c r="AA28" s="4">
        <v>0.27700000000000002</v>
      </c>
      <c r="AB28" s="4">
        <v>0.48399999999999999</v>
      </c>
      <c r="AC28" s="4">
        <v>0.21</v>
      </c>
      <c r="AD28" s="12">
        <v>85219.7</v>
      </c>
      <c r="AE28" s="1">
        <v>-22044.625</v>
      </c>
      <c r="AF28" s="13">
        <f t="shared" si="0"/>
        <v>251</v>
      </c>
      <c r="AG28" s="4">
        <f t="shared" si="1"/>
        <v>2.8836779071440191</v>
      </c>
      <c r="AH28" s="5">
        <f t="shared" si="2"/>
        <v>0.36136495761182003</v>
      </c>
      <c r="AI28" s="4">
        <f t="shared" si="3"/>
        <v>0.61417986603898211</v>
      </c>
      <c r="AJ28" s="4">
        <f t="shared" si="4"/>
        <v>0.52293043433912789</v>
      </c>
      <c r="AK28" s="14">
        <f t="shared" si="5"/>
        <v>85743.102239298809</v>
      </c>
      <c r="AL28" s="14">
        <f t="shared" si="6"/>
        <v>-22159.903053260932</v>
      </c>
      <c r="AM28" s="15">
        <f t="shared" si="7"/>
        <v>1.0061417986603898</v>
      </c>
      <c r="AN28" s="15">
        <f t="shared" si="8"/>
        <v>1.0052293043433913</v>
      </c>
    </row>
    <row r="29" spans="1:40" x14ac:dyDescent="0.2">
      <c r="A29">
        <v>158655</v>
      </c>
      <c r="B29">
        <v>1996</v>
      </c>
      <c r="C29">
        <v>199</v>
      </c>
      <c r="D29" t="s">
        <v>43</v>
      </c>
      <c r="E29" t="s">
        <v>41</v>
      </c>
      <c r="F29">
        <v>3413</v>
      </c>
      <c r="G29">
        <v>255.1</v>
      </c>
      <c r="H29">
        <v>336</v>
      </c>
      <c r="I29" s="2">
        <v>43356</v>
      </c>
      <c r="J29">
        <v>1735</v>
      </c>
      <c r="K29">
        <v>0</v>
      </c>
      <c r="L29">
        <v>45.7</v>
      </c>
      <c r="M29">
        <v>917.5</v>
      </c>
      <c r="N29">
        <v>61</v>
      </c>
      <c r="O29">
        <v>1.2539999999999999E-3</v>
      </c>
      <c r="P29">
        <v>0.94699999999999995</v>
      </c>
      <c r="Q29">
        <v>0.114</v>
      </c>
      <c r="R29">
        <v>235.8</v>
      </c>
      <c r="S29">
        <v>212.8</v>
      </c>
      <c r="T29">
        <v>86.3</v>
      </c>
      <c r="U29">
        <v>126.4</v>
      </c>
      <c r="V29">
        <v>95.4</v>
      </c>
      <c r="W29">
        <v>142.9</v>
      </c>
      <c r="X29">
        <v>63.1</v>
      </c>
      <c r="Y29">
        <v>0.13400000000000001</v>
      </c>
      <c r="Z29">
        <v>1.329</v>
      </c>
      <c r="AA29">
        <v>0.188</v>
      </c>
      <c r="AB29">
        <v>0.72399999999999998</v>
      </c>
      <c r="AC29">
        <v>0.27700000000000002</v>
      </c>
      <c r="AD29" s="12">
        <v>18131.2</v>
      </c>
      <c r="AE29" s="1">
        <v>-2172.9845999999998</v>
      </c>
      <c r="AF29" s="13">
        <f t="shared" si="0"/>
        <v>252</v>
      </c>
      <c r="AG29" s="4">
        <f t="shared" si="1"/>
        <v>2.9405496818887893</v>
      </c>
      <c r="AH29" s="5">
        <f t="shared" si="2"/>
        <v>0.36849178215038536</v>
      </c>
      <c r="AI29" s="4">
        <f t="shared" si="3"/>
        <v>0.62780043929235196</v>
      </c>
      <c r="AJ29" s="4">
        <f t="shared" si="4"/>
        <v>0.53569350806401761</v>
      </c>
      <c r="AK29" s="14">
        <f t="shared" si="5"/>
        <v>18245.027753248978</v>
      </c>
      <c r="AL29" s="14">
        <f t="shared" si="6"/>
        <v>-2184.6251374334306</v>
      </c>
      <c r="AM29" s="15">
        <f t="shared" si="7"/>
        <v>1.0062780043929236</v>
      </c>
      <c r="AN29" s="15">
        <f t="shared" si="8"/>
        <v>1.0053569350806402</v>
      </c>
    </row>
    <row r="30" spans="1:40" x14ac:dyDescent="0.2">
      <c r="A30">
        <v>158655</v>
      </c>
      <c r="B30">
        <v>1996</v>
      </c>
      <c r="C30">
        <v>199</v>
      </c>
      <c r="D30" t="s">
        <v>43</v>
      </c>
      <c r="E30" t="s">
        <v>42</v>
      </c>
      <c r="F30">
        <v>3413</v>
      </c>
      <c r="G30" s="1">
        <v>898.8</v>
      </c>
      <c r="H30">
        <v>504</v>
      </c>
      <c r="I30" s="2">
        <v>43356</v>
      </c>
      <c r="J30">
        <v>1736</v>
      </c>
      <c r="K30">
        <v>0</v>
      </c>
      <c r="L30" s="1">
        <v>71.400000000000006</v>
      </c>
      <c r="M30" s="1">
        <v>827.6</v>
      </c>
      <c r="N30" s="1">
        <v>111.4</v>
      </c>
      <c r="O30" s="3">
        <v>5.0610000000000004E-3</v>
      </c>
      <c r="P30" s="4">
        <v>0.82299999999999995</v>
      </c>
      <c r="Q30" s="4">
        <v>0.152</v>
      </c>
      <c r="R30" s="1">
        <v>225.5</v>
      </c>
      <c r="S30" s="1">
        <v>833.4</v>
      </c>
      <c r="T30" s="1">
        <v>335.6</v>
      </c>
      <c r="U30" s="1">
        <v>497.8</v>
      </c>
      <c r="V30" s="1">
        <v>176.3</v>
      </c>
      <c r="W30" s="1">
        <v>197.9</v>
      </c>
      <c r="X30" s="1">
        <v>161.69999999999999</v>
      </c>
      <c r="Y30">
        <v>0.25700000000000001</v>
      </c>
      <c r="Z30">
        <v>1.5580000000000001</v>
      </c>
      <c r="AA30" s="4">
        <v>0.23599999999999999</v>
      </c>
      <c r="AB30" s="4">
        <v>0.59899999999999998</v>
      </c>
      <c r="AC30" s="4">
        <v>0.24399999999999999</v>
      </c>
      <c r="AD30" s="12">
        <v>36866.6</v>
      </c>
      <c r="AE30" s="1">
        <v>-9089.9315999999999</v>
      </c>
      <c r="AF30" s="13">
        <f t="shared" si="0"/>
        <v>252</v>
      </c>
      <c r="AG30" s="4">
        <f t="shared" si="1"/>
        <v>2.9405496818887893</v>
      </c>
      <c r="AH30" s="5">
        <f t="shared" si="2"/>
        <v>0.36849178215038536</v>
      </c>
      <c r="AI30" s="4">
        <f t="shared" si="3"/>
        <v>0.62780043929235196</v>
      </c>
      <c r="AJ30" s="4">
        <f t="shared" si="4"/>
        <v>0.53569350806401761</v>
      </c>
      <c r="AK30" s="14">
        <f t="shared" si="5"/>
        <v>37098.048676752158</v>
      </c>
      <c r="AL30" s="14">
        <f t="shared" si="6"/>
        <v>-9138.6257734686587</v>
      </c>
      <c r="AM30" s="15">
        <f t="shared" si="7"/>
        <v>1.0062780043929236</v>
      </c>
      <c r="AN30" s="15">
        <f t="shared" si="8"/>
        <v>1.0053569350806402</v>
      </c>
    </row>
    <row r="31" spans="1:40" x14ac:dyDescent="0.2">
      <c r="A31">
        <v>158675</v>
      </c>
      <c r="B31">
        <v>1987</v>
      </c>
      <c r="C31">
        <v>201</v>
      </c>
      <c r="D31" t="s">
        <v>43</v>
      </c>
      <c r="E31" t="s">
        <v>41</v>
      </c>
      <c r="F31">
        <v>3413</v>
      </c>
      <c r="G31" s="1">
        <v>251.3</v>
      </c>
      <c r="H31">
        <v>336</v>
      </c>
      <c r="I31" s="2">
        <v>43361</v>
      </c>
      <c r="J31">
        <v>1746</v>
      </c>
      <c r="K31">
        <v>0</v>
      </c>
      <c r="L31" s="1">
        <v>52.7</v>
      </c>
      <c r="M31" s="1">
        <v>950.2</v>
      </c>
      <c r="N31" s="1">
        <v>62.6</v>
      </c>
      <c r="O31" s="3">
        <v>3.8479999999999999E-3</v>
      </c>
      <c r="P31" s="4">
        <v>1.0569999999999999</v>
      </c>
      <c r="Q31" s="4">
        <v>0.15</v>
      </c>
      <c r="R31" s="1">
        <v>331.4</v>
      </c>
      <c r="S31" s="1">
        <v>202.1</v>
      </c>
      <c r="T31" s="1">
        <v>82.1</v>
      </c>
      <c r="U31" s="1">
        <v>120</v>
      </c>
      <c r="V31" s="1">
        <v>174.8</v>
      </c>
      <c r="W31" s="1">
        <v>231</v>
      </c>
      <c r="X31" s="1">
        <v>136.4</v>
      </c>
      <c r="Y31">
        <v>0.253</v>
      </c>
      <c r="Z31">
        <v>1.609</v>
      </c>
      <c r="AA31" s="4">
        <v>0.219</v>
      </c>
      <c r="AB31" s="4">
        <v>0.56399999999999995</v>
      </c>
      <c r="AC31" s="4">
        <v>0.19900000000000001</v>
      </c>
      <c r="AD31" s="12">
        <v>32822.800000000003</v>
      </c>
      <c r="AE31" s="1">
        <v>-5206.9966000000004</v>
      </c>
      <c r="AF31" s="13">
        <f t="shared" si="0"/>
        <v>257</v>
      </c>
      <c r="AG31" s="4">
        <f t="shared" si="1"/>
        <v>3.2421819046125679</v>
      </c>
      <c r="AH31" s="5">
        <f t="shared" si="2"/>
        <v>0.40629049576847104</v>
      </c>
      <c r="AI31" s="4">
        <f t="shared" si="3"/>
        <v>0.70004020679782875</v>
      </c>
      <c r="AJ31" s="4">
        <f t="shared" si="4"/>
        <v>0.6033853343469664</v>
      </c>
      <c r="AK31" s="14">
        <f t="shared" si="5"/>
        <v>33052.572796996843</v>
      </c>
      <c r="AL31" s="14">
        <f t="shared" si="6"/>
        <v>-5238.4148538443451</v>
      </c>
      <c r="AM31" s="15">
        <f t="shared" si="7"/>
        <v>1.0070004020679784</v>
      </c>
      <c r="AN31" s="15">
        <f t="shared" si="8"/>
        <v>1.0060338533434696</v>
      </c>
    </row>
    <row r="32" spans="1:40" x14ac:dyDescent="0.2">
      <c r="A32">
        <v>158675</v>
      </c>
      <c r="B32">
        <v>1987</v>
      </c>
      <c r="C32">
        <v>201</v>
      </c>
      <c r="D32" t="s">
        <v>43</v>
      </c>
      <c r="E32" t="s">
        <v>42</v>
      </c>
      <c r="F32">
        <v>3413</v>
      </c>
      <c r="G32" s="1">
        <v>963.4</v>
      </c>
      <c r="H32">
        <v>504</v>
      </c>
      <c r="I32" s="2">
        <v>43361</v>
      </c>
      <c r="J32">
        <v>1747</v>
      </c>
      <c r="K32">
        <v>0</v>
      </c>
      <c r="L32" s="1">
        <v>108.2</v>
      </c>
      <c r="M32" s="1">
        <v>851.7</v>
      </c>
      <c r="N32" s="1">
        <v>119.1</v>
      </c>
      <c r="O32" s="3">
        <v>2.5087000000000002E-2</v>
      </c>
      <c r="P32" s="4">
        <v>1.1539999999999999</v>
      </c>
      <c r="Q32" s="4">
        <v>0.23599999999999999</v>
      </c>
      <c r="R32" s="1">
        <v>277.10000000000002</v>
      </c>
      <c r="S32" s="1">
        <v>861.4</v>
      </c>
      <c r="T32" s="1">
        <v>346.8</v>
      </c>
      <c r="U32" s="1">
        <v>514.5</v>
      </c>
      <c r="V32" s="1">
        <v>206.9</v>
      </c>
      <c r="W32" s="1">
        <v>247.5</v>
      </c>
      <c r="X32" s="1">
        <v>179.4</v>
      </c>
      <c r="Y32">
        <v>0.30099999999999999</v>
      </c>
      <c r="Z32">
        <v>1.6319999999999999</v>
      </c>
      <c r="AA32" s="4">
        <v>0.24399999999999999</v>
      </c>
      <c r="AB32" s="4">
        <v>0.56599999999999995</v>
      </c>
      <c r="AC32" s="4">
        <v>0.24399999999999999</v>
      </c>
      <c r="AD32" s="12">
        <v>56868.5</v>
      </c>
      <c r="AE32" s="1">
        <v>-14964.566999999999</v>
      </c>
      <c r="AF32" s="13">
        <f t="shared" si="0"/>
        <v>257</v>
      </c>
      <c r="AG32" s="4">
        <f t="shared" si="1"/>
        <v>3.2421819046125679</v>
      </c>
      <c r="AH32" s="5">
        <f t="shared" si="2"/>
        <v>0.40629049576847104</v>
      </c>
      <c r="AI32" s="4">
        <f t="shared" si="3"/>
        <v>0.70004020679782875</v>
      </c>
      <c r="AJ32" s="4">
        <f t="shared" si="4"/>
        <v>0.6033853343469664</v>
      </c>
      <c r="AK32" s="14">
        <f t="shared" si="5"/>
        <v>57266.602365002829</v>
      </c>
      <c r="AL32" s="14">
        <f t="shared" si="6"/>
        <v>-15054.861002626525</v>
      </c>
      <c r="AM32" s="15">
        <f t="shared" si="7"/>
        <v>1.0070004020679784</v>
      </c>
      <c r="AN32" s="15">
        <f t="shared" si="8"/>
        <v>1.0060338533434696</v>
      </c>
    </row>
    <row r="33" spans="1:40" x14ac:dyDescent="0.2">
      <c r="A33">
        <v>158677</v>
      </c>
      <c r="B33">
        <v>1988</v>
      </c>
      <c r="C33">
        <v>202</v>
      </c>
      <c r="D33" t="s">
        <v>43</v>
      </c>
      <c r="E33" t="s">
        <v>41</v>
      </c>
      <c r="F33">
        <v>3413</v>
      </c>
      <c r="G33" s="1">
        <v>245.7</v>
      </c>
      <c r="H33">
        <v>336</v>
      </c>
      <c r="I33" s="2">
        <v>43363</v>
      </c>
      <c r="J33">
        <v>1756</v>
      </c>
      <c r="K33">
        <v>0</v>
      </c>
      <c r="L33" s="1">
        <v>54.9</v>
      </c>
      <c r="M33" s="1">
        <v>1001.5</v>
      </c>
      <c r="N33" s="1">
        <v>59.5</v>
      </c>
      <c r="O33" s="3">
        <v>1.5610000000000001E-3</v>
      </c>
      <c r="P33" s="4">
        <v>1.161</v>
      </c>
      <c r="Q33" s="4">
        <v>0.124</v>
      </c>
      <c r="R33" s="1">
        <v>300.39999999999998</v>
      </c>
      <c r="S33" s="1">
        <v>194.2</v>
      </c>
      <c r="T33" s="1">
        <v>78.900000000000006</v>
      </c>
      <c r="U33" s="1">
        <v>115.3</v>
      </c>
      <c r="V33" s="1">
        <v>107.3</v>
      </c>
      <c r="W33" s="1">
        <v>173.2</v>
      </c>
      <c r="X33" s="1">
        <v>62.3</v>
      </c>
      <c r="Y33">
        <v>0.156</v>
      </c>
      <c r="Z33">
        <v>1.145</v>
      </c>
      <c r="AA33" s="4">
        <v>0.21299999999999999</v>
      </c>
      <c r="AB33" s="4">
        <v>0.85299999999999998</v>
      </c>
      <c r="AC33" s="4">
        <v>0.43099999999999999</v>
      </c>
      <c r="AD33" s="12">
        <v>27437.5</v>
      </c>
      <c r="AE33" s="1">
        <v>-3346.6334999999999</v>
      </c>
      <c r="AF33" s="13">
        <f t="shared" si="0"/>
        <v>259</v>
      </c>
      <c r="AG33" s="4">
        <f t="shared" si="1"/>
        <v>3.3713273206117691</v>
      </c>
      <c r="AH33" s="5">
        <f t="shared" si="2"/>
        <v>0.422474212979986</v>
      </c>
      <c r="AI33" s="4">
        <f t="shared" si="3"/>
        <v>0.7309700416209598</v>
      </c>
      <c r="AJ33" s="4">
        <f t="shared" si="4"/>
        <v>0.63236794431520793</v>
      </c>
      <c r="AK33" s="14">
        <f t="shared" si="5"/>
        <v>27638.059905169754</v>
      </c>
      <c r="AL33" s="14">
        <f t="shared" si="6"/>
        <v>-3367.7965374677137</v>
      </c>
      <c r="AM33" s="15">
        <f t="shared" si="7"/>
        <v>1.0073097004162097</v>
      </c>
      <c r="AN33" s="15">
        <f t="shared" si="8"/>
        <v>1.006323679443152</v>
      </c>
    </row>
    <row r="34" spans="1:40" x14ac:dyDescent="0.2">
      <c r="A34">
        <v>158677</v>
      </c>
      <c r="B34">
        <v>1988</v>
      </c>
      <c r="C34">
        <v>202</v>
      </c>
      <c r="D34" t="s">
        <v>43</v>
      </c>
      <c r="E34" t="s">
        <v>42</v>
      </c>
      <c r="F34">
        <v>3413</v>
      </c>
      <c r="G34" s="1">
        <v>749.3</v>
      </c>
      <c r="H34">
        <v>504</v>
      </c>
      <c r="I34" s="2">
        <v>43363</v>
      </c>
      <c r="J34">
        <v>1757</v>
      </c>
      <c r="K34">
        <v>0</v>
      </c>
      <c r="L34" s="1">
        <v>95.6</v>
      </c>
      <c r="M34" s="1">
        <v>926</v>
      </c>
      <c r="N34" s="1">
        <v>101.6</v>
      </c>
      <c r="O34" s="3">
        <v>1.5265000000000001E-2</v>
      </c>
      <c r="P34" s="4">
        <v>1.2250000000000001</v>
      </c>
      <c r="Q34" s="4">
        <v>0.20499999999999999</v>
      </c>
      <c r="R34" s="1">
        <v>269.5</v>
      </c>
      <c r="S34" s="1">
        <v>659.1</v>
      </c>
      <c r="T34" s="1">
        <v>265.5</v>
      </c>
      <c r="U34" s="1">
        <v>393.6</v>
      </c>
      <c r="V34" s="1">
        <v>176.9</v>
      </c>
      <c r="W34" s="1">
        <v>204.7</v>
      </c>
      <c r="X34" s="1">
        <v>158</v>
      </c>
      <c r="Y34">
        <v>0.25600000000000001</v>
      </c>
      <c r="Z34">
        <v>1.5429999999999999</v>
      </c>
      <c r="AA34" s="4">
        <v>0.23899999999999999</v>
      </c>
      <c r="AB34" s="4">
        <v>0.59499999999999997</v>
      </c>
      <c r="AC34" s="4">
        <v>0.23599999999999999</v>
      </c>
      <c r="AD34" s="12">
        <v>42948.1</v>
      </c>
      <c r="AE34" s="1">
        <v>-9671.8837999999996</v>
      </c>
      <c r="AF34" s="13">
        <f t="shared" si="0"/>
        <v>259</v>
      </c>
      <c r="AG34" s="4">
        <f t="shared" si="1"/>
        <v>3.3713273206117691</v>
      </c>
      <c r="AH34" s="5">
        <f t="shared" si="2"/>
        <v>0.422474212979986</v>
      </c>
      <c r="AI34" s="4">
        <f t="shared" si="3"/>
        <v>0.7309700416209598</v>
      </c>
      <c r="AJ34" s="4">
        <f t="shared" si="4"/>
        <v>0.63236794431520793</v>
      </c>
      <c r="AK34" s="14">
        <f t="shared" si="5"/>
        <v>43262.037744445413</v>
      </c>
      <c r="AL34" s="14">
        <f t="shared" si="6"/>
        <v>-9733.0456927626146</v>
      </c>
      <c r="AM34" s="15">
        <f t="shared" si="7"/>
        <v>1.0073097004162097</v>
      </c>
      <c r="AN34" s="15">
        <f t="shared" si="8"/>
        <v>1.006323679443152</v>
      </c>
    </row>
    <row r="35" spans="1:40" x14ac:dyDescent="0.2">
      <c r="A35">
        <v>158678</v>
      </c>
      <c r="B35">
        <v>1997</v>
      </c>
      <c r="C35">
        <v>203</v>
      </c>
      <c r="D35" t="s">
        <v>43</v>
      </c>
      <c r="E35" t="s">
        <v>41</v>
      </c>
      <c r="F35">
        <v>3413</v>
      </c>
      <c r="G35">
        <v>307</v>
      </c>
      <c r="H35">
        <v>336</v>
      </c>
      <c r="I35" s="2">
        <v>43364</v>
      </c>
      <c r="J35">
        <v>1759</v>
      </c>
      <c r="K35">
        <v>0</v>
      </c>
      <c r="L35">
        <v>51.4</v>
      </c>
      <c r="M35">
        <v>891.8</v>
      </c>
      <c r="N35">
        <v>68.900000000000006</v>
      </c>
      <c r="O35">
        <v>3.3990000000000001E-3</v>
      </c>
      <c r="P35">
        <v>0.92200000000000004</v>
      </c>
      <c r="Q35">
        <v>0.156</v>
      </c>
      <c r="R35">
        <v>266.39999999999998</v>
      </c>
      <c r="S35">
        <v>259.39999999999998</v>
      </c>
      <c r="T35">
        <v>105.3</v>
      </c>
      <c r="U35">
        <v>154.19999999999999</v>
      </c>
      <c r="V35">
        <v>147.30000000000001</v>
      </c>
      <c r="W35">
        <v>205.3</v>
      </c>
      <c r="X35">
        <v>107.7</v>
      </c>
      <c r="Y35">
        <v>0.19700000000000001</v>
      </c>
      <c r="Z35">
        <v>1.67</v>
      </c>
      <c r="AA35">
        <v>0.20699999999999999</v>
      </c>
      <c r="AB35">
        <v>0.57299999999999995</v>
      </c>
      <c r="AC35">
        <v>0.19800000000000001</v>
      </c>
      <c r="AD35" s="12">
        <v>27462.7</v>
      </c>
      <c r="AE35" s="1">
        <v>-4365.3818000000001</v>
      </c>
      <c r="AF35" s="13">
        <f t="shared" ref="AF35:AF66" si="9">I35-$AF$2</f>
        <v>260</v>
      </c>
      <c r="AG35" s="4">
        <f t="shared" ref="AG35:AG66" si="10">0.02143*EXP(0.01953*AF35)</f>
        <v>3.4378164966371947</v>
      </c>
      <c r="AH35" s="5">
        <f t="shared" ref="AH35:AH66" si="11">AG35/797.996*100</f>
        <v>0.43080623169003285</v>
      </c>
      <c r="AI35" s="4">
        <f t="shared" ref="AI35:AI66" si="12">AH35*1.91117-0.07645</f>
        <v>0.74689394581904012</v>
      </c>
      <c r="AJ35" s="4">
        <f t="shared" ref="AJ35:AJ66" si="13">AH35*1.79085-0.12422</f>
        <v>0.64728934002209537</v>
      </c>
      <c r="AK35" s="14">
        <f t="shared" ref="AK35:AK66" si="14">AD35*(1+AI35/100)</f>
        <v>27667.817243658446</v>
      </c>
      <c r="AL35" s="14">
        <f t="shared" ref="AL35:AL66" si="15">AE35*(1+AJ35/100)</f>
        <v>-4393.6384510426651</v>
      </c>
      <c r="AM35" s="15">
        <f t="shared" ref="AM35:AM66" si="16">AK35/AD35</f>
        <v>1.0074689394581904</v>
      </c>
      <c r="AN35" s="15">
        <f t="shared" ref="AN35:AN66" si="17">AL35/AE35</f>
        <v>1.0064728934002209</v>
      </c>
    </row>
    <row r="36" spans="1:40" x14ac:dyDescent="0.2">
      <c r="A36">
        <v>158694</v>
      </c>
      <c r="B36">
        <v>1991</v>
      </c>
      <c r="C36">
        <v>205</v>
      </c>
      <c r="D36" t="s">
        <v>40</v>
      </c>
      <c r="E36" t="s">
        <v>41</v>
      </c>
      <c r="F36">
        <v>3413</v>
      </c>
      <c r="G36" s="1">
        <v>324.3</v>
      </c>
      <c r="H36">
        <v>336</v>
      </c>
      <c r="I36" s="2">
        <v>43367</v>
      </c>
      <c r="J36">
        <v>1774</v>
      </c>
      <c r="K36">
        <v>0</v>
      </c>
      <c r="L36" s="1">
        <v>66.599999999999994</v>
      </c>
      <c r="M36" s="1">
        <v>887.7</v>
      </c>
      <c r="N36" s="1">
        <v>75.099999999999994</v>
      </c>
      <c r="O36" s="3">
        <v>5.1349999999999998E-3</v>
      </c>
      <c r="P36" s="4">
        <v>1.1319999999999999</v>
      </c>
      <c r="Q36" s="4">
        <v>0.16900000000000001</v>
      </c>
      <c r="R36" s="1">
        <v>322.2</v>
      </c>
      <c r="S36" s="1">
        <v>261.89999999999998</v>
      </c>
      <c r="T36" s="1">
        <v>106.3</v>
      </c>
      <c r="U36" s="1">
        <v>155.5</v>
      </c>
      <c r="V36" s="1">
        <v>182.2</v>
      </c>
      <c r="W36" s="1">
        <v>229.6</v>
      </c>
      <c r="X36" s="1">
        <v>149.69999999999999</v>
      </c>
      <c r="Y36">
        <v>0.26800000000000002</v>
      </c>
      <c r="Z36">
        <v>1.4319999999999999</v>
      </c>
      <c r="AA36" s="4">
        <v>0.25600000000000001</v>
      </c>
      <c r="AB36" s="4">
        <v>0.63200000000000001</v>
      </c>
      <c r="AC36" s="4">
        <v>0.24399999999999999</v>
      </c>
      <c r="AD36" s="12">
        <v>36504.9</v>
      </c>
      <c r="AE36" s="1">
        <v>-5438.1122999999998</v>
      </c>
      <c r="AF36" s="13">
        <f t="shared" si="9"/>
        <v>263</v>
      </c>
      <c r="AG36" s="4">
        <f t="shared" si="10"/>
        <v>3.6452557605533595</v>
      </c>
      <c r="AH36" s="5">
        <f t="shared" si="11"/>
        <v>0.45680125721850229</v>
      </c>
      <c r="AI36" s="4">
        <f t="shared" si="12"/>
        <v>0.79657485875828504</v>
      </c>
      <c r="AJ36" s="4">
        <f t="shared" si="13"/>
        <v>0.69384253148975483</v>
      </c>
      <c r="AK36" s="14">
        <f t="shared" si="14"/>
        <v>36795.688855614855</v>
      </c>
      <c r="AL36" s="14">
        <f t="shared" si="15"/>
        <v>-5475.8442360475756</v>
      </c>
      <c r="AM36" s="15">
        <f t="shared" si="16"/>
        <v>1.0079657485875828</v>
      </c>
      <c r="AN36" s="15">
        <f t="shared" si="17"/>
        <v>1.0069384253148976</v>
      </c>
    </row>
    <row r="37" spans="1:40" x14ac:dyDescent="0.2">
      <c r="A37">
        <v>158694</v>
      </c>
      <c r="B37">
        <v>1991</v>
      </c>
      <c r="C37">
        <v>205</v>
      </c>
      <c r="D37" t="s">
        <v>40</v>
      </c>
      <c r="E37" t="s">
        <v>42</v>
      </c>
      <c r="F37">
        <v>3413</v>
      </c>
      <c r="G37" s="1">
        <v>1011</v>
      </c>
      <c r="H37">
        <v>504</v>
      </c>
      <c r="I37" s="2">
        <v>43367</v>
      </c>
      <c r="J37">
        <v>1776</v>
      </c>
      <c r="K37">
        <v>0</v>
      </c>
      <c r="L37" s="1">
        <v>133.1</v>
      </c>
      <c r="M37" s="1">
        <v>809.1</v>
      </c>
      <c r="N37" s="1">
        <v>120.9</v>
      </c>
      <c r="O37" s="3">
        <v>4.4594000000000002E-2</v>
      </c>
      <c r="P37" s="4">
        <v>1.5509999999999999</v>
      </c>
      <c r="Q37" s="4">
        <v>0.24299999999999999</v>
      </c>
      <c r="R37" s="1">
        <v>338.2</v>
      </c>
      <c r="S37" s="1">
        <v>884.4</v>
      </c>
      <c r="T37" s="1">
        <v>356</v>
      </c>
      <c r="U37" s="1">
        <v>528.4</v>
      </c>
      <c r="V37" s="1">
        <v>268.7</v>
      </c>
      <c r="W37" s="1">
        <v>290.7</v>
      </c>
      <c r="X37" s="1">
        <v>253.9</v>
      </c>
      <c r="Y37">
        <v>0.38300000000000001</v>
      </c>
      <c r="Z37">
        <v>1.52</v>
      </c>
      <c r="AA37" s="4">
        <v>0.313</v>
      </c>
      <c r="AB37" s="4">
        <v>0.59499999999999997</v>
      </c>
      <c r="AC37" s="4">
        <v>0.255</v>
      </c>
      <c r="AD37" s="12">
        <v>79240.5</v>
      </c>
      <c r="AE37" s="1">
        <v>-20597.197</v>
      </c>
      <c r="AF37" s="13">
        <f t="shared" si="9"/>
        <v>263</v>
      </c>
      <c r="AG37" s="4">
        <f t="shared" si="10"/>
        <v>3.6452557605533595</v>
      </c>
      <c r="AH37" s="5">
        <f t="shared" si="11"/>
        <v>0.45680125721850229</v>
      </c>
      <c r="AI37" s="4">
        <f t="shared" si="12"/>
        <v>0.79657485875828504</v>
      </c>
      <c r="AJ37" s="4">
        <f t="shared" si="13"/>
        <v>0.69384253148975483</v>
      </c>
      <c r="AK37" s="14">
        <f t="shared" si="14"/>
        <v>79871.70990095436</v>
      </c>
      <c r="AL37" s="14">
        <f t="shared" si="15"/>
        <v>-20740.109113080733</v>
      </c>
      <c r="AM37" s="15">
        <f t="shared" si="16"/>
        <v>1.0079657485875828</v>
      </c>
      <c r="AN37" s="15">
        <f t="shared" si="17"/>
        <v>1.0069384253148976</v>
      </c>
    </row>
    <row r="38" spans="1:40" x14ac:dyDescent="0.2">
      <c r="A38">
        <v>158695</v>
      </c>
      <c r="B38">
        <v>1998</v>
      </c>
      <c r="C38">
        <v>206</v>
      </c>
      <c r="D38" t="s">
        <v>43</v>
      </c>
      <c r="E38" t="s">
        <v>41</v>
      </c>
      <c r="F38">
        <v>3413</v>
      </c>
      <c r="G38" s="1">
        <v>257.3</v>
      </c>
      <c r="H38">
        <v>336</v>
      </c>
      <c r="I38" s="2">
        <v>43368</v>
      </c>
      <c r="J38">
        <v>1780</v>
      </c>
      <c r="K38">
        <v>0</v>
      </c>
      <c r="L38" s="1">
        <v>66.599999999999994</v>
      </c>
      <c r="M38" s="1">
        <v>908.7</v>
      </c>
      <c r="N38" s="1">
        <v>63.8</v>
      </c>
      <c r="O38" s="3">
        <v>6.7510000000000001E-3</v>
      </c>
      <c r="P38" s="4">
        <v>1.325</v>
      </c>
      <c r="Q38" s="4">
        <v>0.17599999999999999</v>
      </c>
      <c r="R38" s="1">
        <v>384.1</v>
      </c>
      <c r="S38" s="1">
        <v>194.2</v>
      </c>
      <c r="T38" s="1">
        <v>78.900000000000006</v>
      </c>
      <c r="U38" s="1">
        <v>115.3</v>
      </c>
      <c r="V38" s="1">
        <v>207.6</v>
      </c>
      <c r="W38" s="1">
        <v>271.60000000000002</v>
      </c>
      <c r="X38" s="1">
        <v>163.9</v>
      </c>
      <c r="Y38">
        <v>0.30299999999999999</v>
      </c>
      <c r="Z38">
        <v>1.7450000000000001</v>
      </c>
      <c r="AA38" s="4">
        <v>0.23300000000000001</v>
      </c>
      <c r="AB38" s="4">
        <v>0.50900000000000001</v>
      </c>
      <c r="AC38" s="4">
        <v>0.184</v>
      </c>
      <c r="AD38" s="12">
        <v>41969.599999999999</v>
      </c>
      <c r="AE38" s="1">
        <v>-6895.6387000000004</v>
      </c>
      <c r="AF38" s="13">
        <f t="shared" si="9"/>
        <v>264</v>
      </c>
      <c r="AG38" s="4">
        <f t="shared" si="10"/>
        <v>3.7171473417828995</v>
      </c>
      <c r="AH38" s="5">
        <f t="shared" si="11"/>
        <v>0.46581027245536316</v>
      </c>
      <c r="AI38" s="4">
        <f t="shared" si="12"/>
        <v>0.81379261840851647</v>
      </c>
      <c r="AJ38" s="4">
        <f t="shared" si="13"/>
        <v>0.70997632642668718</v>
      </c>
      <c r="AK38" s="14">
        <f t="shared" si="14"/>
        <v>42311.145506775581</v>
      </c>
      <c r="AL38" s="14">
        <f t="shared" si="15"/>
        <v>-6944.5961023259169</v>
      </c>
      <c r="AM38" s="15">
        <f t="shared" si="16"/>
        <v>1.0081379261840853</v>
      </c>
      <c r="AN38" s="15">
        <f t="shared" si="17"/>
        <v>1.0070997632642669</v>
      </c>
    </row>
    <row r="39" spans="1:40" x14ac:dyDescent="0.2">
      <c r="A39">
        <v>158695</v>
      </c>
      <c r="B39">
        <v>1998</v>
      </c>
      <c r="C39">
        <v>206</v>
      </c>
      <c r="D39" t="s">
        <v>43</v>
      </c>
      <c r="E39" t="s">
        <v>42</v>
      </c>
      <c r="F39">
        <v>3413</v>
      </c>
      <c r="G39" s="1">
        <v>972.1</v>
      </c>
      <c r="H39">
        <v>504</v>
      </c>
      <c r="I39" s="2">
        <v>43368</v>
      </c>
      <c r="J39">
        <v>1781</v>
      </c>
      <c r="K39">
        <v>0</v>
      </c>
      <c r="L39" s="1">
        <v>97.4</v>
      </c>
      <c r="M39" s="1">
        <v>848.6</v>
      </c>
      <c r="N39" s="1">
        <v>117.9</v>
      </c>
      <c r="O39" s="3">
        <v>1.3996E-2</v>
      </c>
      <c r="P39" s="4">
        <v>1.016</v>
      </c>
      <c r="Q39" s="4">
        <v>0.17499999999999999</v>
      </c>
      <c r="R39" s="1">
        <v>269.7</v>
      </c>
      <c r="S39" s="1">
        <v>881.1</v>
      </c>
      <c r="T39" s="1">
        <v>354.7</v>
      </c>
      <c r="U39" s="1">
        <v>526.4</v>
      </c>
      <c r="V39" s="1">
        <v>207.8</v>
      </c>
      <c r="W39" s="1">
        <v>241.9</v>
      </c>
      <c r="X39" s="1">
        <v>184.9</v>
      </c>
      <c r="Y39">
        <v>0.30399999999999999</v>
      </c>
      <c r="Z39">
        <v>1.71</v>
      </c>
      <c r="AA39" s="4">
        <v>0.24299999999999999</v>
      </c>
      <c r="AB39" s="4">
        <v>0.53400000000000003</v>
      </c>
      <c r="AC39" s="4">
        <v>0.21299999999999999</v>
      </c>
      <c r="AD39" s="12">
        <v>52004.1</v>
      </c>
      <c r="AE39" s="1">
        <v>-13558.328</v>
      </c>
      <c r="AF39" s="13">
        <f t="shared" si="9"/>
        <v>264</v>
      </c>
      <c r="AG39" s="4">
        <f t="shared" si="10"/>
        <v>3.7171473417828995</v>
      </c>
      <c r="AH39" s="5">
        <f t="shared" si="11"/>
        <v>0.46581027245536316</v>
      </c>
      <c r="AI39" s="4">
        <f t="shared" si="12"/>
        <v>0.81379261840851647</v>
      </c>
      <c r="AJ39" s="4">
        <f t="shared" si="13"/>
        <v>0.70997632642668718</v>
      </c>
      <c r="AK39" s="14">
        <f t="shared" si="14"/>
        <v>52427.305527069788</v>
      </c>
      <c r="AL39" s="14">
        <f t="shared" si="15"/>
        <v>-13654.588919059281</v>
      </c>
      <c r="AM39" s="15">
        <f t="shared" si="16"/>
        <v>1.0081379261840853</v>
      </c>
      <c r="AN39" s="15">
        <f t="shared" si="17"/>
        <v>1.0070997632642669</v>
      </c>
    </row>
    <row r="40" spans="1:40" x14ac:dyDescent="0.2">
      <c r="A40">
        <v>158696</v>
      </c>
      <c r="B40">
        <v>1988</v>
      </c>
      <c r="C40">
        <v>207</v>
      </c>
      <c r="D40" t="s">
        <v>40</v>
      </c>
      <c r="E40" t="s">
        <v>41</v>
      </c>
      <c r="F40">
        <v>3413</v>
      </c>
      <c r="G40" s="1">
        <v>346.7</v>
      </c>
      <c r="H40">
        <v>336</v>
      </c>
      <c r="I40" s="2">
        <v>43369</v>
      </c>
      <c r="J40">
        <v>1784</v>
      </c>
      <c r="K40">
        <v>0</v>
      </c>
      <c r="L40" s="1">
        <v>83.3</v>
      </c>
      <c r="M40" s="1">
        <v>929</v>
      </c>
      <c r="N40" s="1">
        <v>75.7</v>
      </c>
      <c r="O40" s="3">
        <v>5.8820000000000001E-3</v>
      </c>
      <c r="P40" s="4">
        <v>1.43</v>
      </c>
      <c r="Q40" s="4">
        <v>0.17</v>
      </c>
      <c r="R40" s="1">
        <v>387.4</v>
      </c>
      <c r="S40" s="1">
        <v>267.5</v>
      </c>
      <c r="T40" s="1">
        <v>108.5</v>
      </c>
      <c r="U40" s="1">
        <v>159</v>
      </c>
      <c r="V40" s="1">
        <v>221.3</v>
      </c>
      <c r="W40" s="1">
        <v>267.60000000000002</v>
      </c>
      <c r="X40" s="1">
        <v>189.5</v>
      </c>
      <c r="Y40">
        <v>0.32200000000000001</v>
      </c>
      <c r="Z40">
        <v>1.633</v>
      </c>
      <c r="AA40" s="4">
        <v>0.25800000000000001</v>
      </c>
      <c r="AB40" s="4">
        <v>0.53900000000000003</v>
      </c>
      <c r="AC40" s="4">
        <v>0.216</v>
      </c>
      <c r="AD40" s="12">
        <v>51944.3</v>
      </c>
      <c r="AE40" s="1">
        <v>-7711.7372999999998</v>
      </c>
      <c r="AF40" s="13">
        <f t="shared" si="9"/>
        <v>265</v>
      </c>
      <c r="AG40" s="4">
        <f t="shared" si="10"/>
        <v>3.7904567657623507</v>
      </c>
      <c r="AH40" s="5">
        <f t="shared" si="11"/>
        <v>0.47499696311289163</v>
      </c>
      <c r="AI40" s="4">
        <f t="shared" si="12"/>
        <v>0.83134994599246514</v>
      </c>
      <c r="AJ40" s="4">
        <f t="shared" si="13"/>
        <v>0.72642831139072206</v>
      </c>
      <c r="AK40" s="14">
        <f t="shared" si="14"/>
        <v>52376.13890999616</v>
      </c>
      <c r="AL40" s="14">
        <f t="shared" si="15"/>
        <v>-7767.757543047278</v>
      </c>
      <c r="AM40" s="15">
        <f t="shared" si="16"/>
        <v>1.0083134994599245</v>
      </c>
      <c r="AN40" s="15">
        <f t="shared" si="17"/>
        <v>1.0072642831139071</v>
      </c>
    </row>
    <row r="41" spans="1:40" x14ac:dyDescent="0.2">
      <c r="A41">
        <v>158696</v>
      </c>
      <c r="B41">
        <v>1988</v>
      </c>
      <c r="C41">
        <v>207</v>
      </c>
      <c r="D41" t="s">
        <v>40</v>
      </c>
      <c r="E41" t="s">
        <v>42</v>
      </c>
      <c r="F41">
        <v>3413</v>
      </c>
      <c r="G41" s="1">
        <v>1154.5</v>
      </c>
      <c r="H41">
        <v>504</v>
      </c>
      <c r="I41" s="2">
        <v>43369</v>
      </c>
      <c r="J41">
        <v>1786</v>
      </c>
      <c r="K41">
        <v>0</v>
      </c>
      <c r="L41" s="1">
        <v>143.80000000000001</v>
      </c>
      <c r="M41" s="1">
        <v>814.4</v>
      </c>
      <c r="N41" s="1">
        <v>129.80000000000001</v>
      </c>
      <c r="O41" s="3">
        <v>3.7844999999999997E-2</v>
      </c>
      <c r="P41" s="4">
        <v>1.49</v>
      </c>
      <c r="Q41" s="4">
        <v>0.24299999999999999</v>
      </c>
      <c r="R41" s="1">
        <v>315.60000000000002</v>
      </c>
      <c r="S41" s="1">
        <v>1017.9</v>
      </c>
      <c r="T41" s="1">
        <v>409.8</v>
      </c>
      <c r="U41" s="1">
        <v>608.1</v>
      </c>
      <c r="V41" s="1">
        <v>246.7</v>
      </c>
      <c r="W41" s="1">
        <v>279.8</v>
      </c>
      <c r="X41" s="1">
        <v>224.6</v>
      </c>
      <c r="Y41">
        <v>0.35899999999999999</v>
      </c>
      <c r="Z41">
        <v>1.867</v>
      </c>
      <c r="AA41" s="4">
        <v>0.26200000000000001</v>
      </c>
      <c r="AB41" s="4">
        <v>0.48099999999999998</v>
      </c>
      <c r="AC41" s="4">
        <v>0.19</v>
      </c>
      <c r="AD41" s="12">
        <v>75303.5</v>
      </c>
      <c r="AE41" s="1">
        <v>-19506.763999999999</v>
      </c>
      <c r="AF41" s="13">
        <f t="shared" si="9"/>
        <v>265</v>
      </c>
      <c r="AG41" s="4">
        <f t="shared" si="10"/>
        <v>3.7904567657623507</v>
      </c>
      <c r="AH41" s="5">
        <f t="shared" si="11"/>
        <v>0.47499696311289163</v>
      </c>
      <c r="AI41" s="4">
        <f t="shared" si="12"/>
        <v>0.83134994599246514</v>
      </c>
      <c r="AJ41" s="4">
        <f t="shared" si="13"/>
        <v>0.72642831139072206</v>
      </c>
      <c r="AK41" s="14">
        <f t="shared" si="14"/>
        <v>75929.535606580423</v>
      </c>
      <c r="AL41" s="14">
        <f t="shared" si="15"/>
        <v>-19648.46665633217</v>
      </c>
      <c r="AM41" s="15">
        <f t="shared" si="16"/>
        <v>1.0083134994599245</v>
      </c>
      <c r="AN41" s="15">
        <f t="shared" si="17"/>
        <v>1.0072642831139071</v>
      </c>
    </row>
    <row r="42" spans="1:40" x14ac:dyDescent="0.2">
      <c r="A42">
        <v>158698</v>
      </c>
      <c r="B42">
        <v>1992</v>
      </c>
      <c r="C42">
        <v>209</v>
      </c>
      <c r="D42" t="s">
        <v>43</v>
      </c>
      <c r="E42" t="s">
        <v>41</v>
      </c>
      <c r="F42">
        <v>3413</v>
      </c>
      <c r="G42" s="1">
        <v>180.4</v>
      </c>
      <c r="H42">
        <v>336</v>
      </c>
      <c r="I42" s="2">
        <v>43370</v>
      </c>
      <c r="J42">
        <v>1795</v>
      </c>
      <c r="K42">
        <v>0</v>
      </c>
      <c r="L42" s="1">
        <v>62.4</v>
      </c>
      <c r="M42" s="1">
        <v>1023.3</v>
      </c>
      <c r="N42" s="1">
        <v>55.4</v>
      </c>
      <c r="O42" s="3">
        <v>2.7399999999999998E-3</v>
      </c>
      <c r="P42" s="4">
        <v>1.4690000000000001</v>
      </c>
      <c r="Q42" s="4">
        <v>0.121</v>
      </c>
      <c r="R42" s="1">
        <v>452.9</v>
      </c>
      <c r="S42" s="1">
        <v>121</v>
      </c>
      <c r="T42" s="1">
        <v>49.5</v>
      </c>
      <c r="U42" s="1">
        <v>71.599999999999994</v>
      </c>
      <c r="V42" s="1">
        <v>162.5</v>
      </c>
      <c r="W42" s="1">
        <v>217.8</v>
      </c>
      <c r="X42" s="1">
        <v>124.4</v>
      </c>
      <c r="Y42">
        <v>0.23300000000000001</v>
      </c>
      <c r="Z42">
        <v>1.454</v>
      </c>
      <c r="AA42" s="4">
        <v>0.217</v>
      </c>
      <c r="AB42" s="4">
        <v>0.62</v>
      </c>
      <c r="AC42" s="4">
        <v>0.21199999999999999</v>
      </c>
      <c r="AD42" s="12">
        <v>38585.4</v>
      </c>
      <c r="AE42" s="1">
        <v>-5428.5068000000001</v>
      </c>
      <c r="AF42" s="13">
        <f t="shared" si="9"/>
        <v>266</v>
      </c>
      <c r="AG42" s="4">
        <f t="shared" si="10"/>
        <v>3.8652119951269661</v>
      </c>
      <c r="AH42" s="5">
        <f t="shared" si="11"/>
        <v>0.48436483329828295</v>
      </c>
      <c r="AI42" s="4">
        <f t="shared" si="12"/>
        <v>0.84925353845467944</v>
      </c>
      <c r="AJ42" s="4">
        <f t="shared" si="13"/>
        <v>0.74320476171223004</v>
      </c>
      <c r="AK42" s="14">
        <f t="shared" si="14"/>
        <v>38913.087874826895</v>
      </c>
      <c r="AL42" s="14">
        <f t="shared" si="15"/>
        <v>-5468.8517210274722</v>
      </c>
      <c r="AM42" s="15">
        <f t="shared" si="16"/>
        <v>1.0084925353845469</v>
      </c>
      <c r="AN42" s="15">
        <f t="shared" si="17"/>
        <v>1.0074320476171224</v>
      </c>
    </row>
    <row r="43" spans="1:40" x14ac:dyDescent="0.2">
      <c r="A43">
        <v>158698</v>
      </c>
      <c r="B43">
        <v>1992</v>
      </c>
      <c r="C43">
        <v>209</v>
      </c>
      <c r="D43" t="s">
        <v>43</v>
      </c>
      <c r="E43" t="s">
        <v>42</v>
      </c>
      <c r="F43">
        <v>3413</v>
      </c>
      <c r="G43" s="1">
        <v>621.79999999999995</v>
      </c>
      <c r="H43">
        <v>504</v>
      </c>
      <c r="I43" s="2">
        <v>43370</v>
      </c>
      <c r="J43">
        <v>1796</v>
      </c>
      <c r="K43">
        <v>0</v>
      </c>
      <c r="L43" s="1">
        <v>106.6</v>
      </c>
      <c r="M43" s="1">
        <v>940.2</v>
      </c>
      <c r="N43" s="1">
        <v>95.3</v>
      </c>
      <c r="O43" s="3">
        <v>1.2743000000000001E-2</v>
      </c>
      <c r="P43" s="4">
        <v>1.4610000000000001</v>
      </c>
      <c r="Q43" s="4">
        <v>0.20799999999999999</v>
      </c>
      <c r="R43" s="1">
        <v>307.2</v>
      </c>
      <c r="S43" s="1">
        <v>520.4</v>
      </c>
      <c r="T43" s="1">
        <v>210.1</v>
      </c>
      <c r="U43" s="1">
        <v>310.3</v>
      </c>
      <c r="V43" s="1">
        <v>180.2</v>
      </c>
      <c r="W43" s="1">
        <v>229.2</v>
      </c>
      <c r="X43" s="1">
        <v>147.1</v>
      </c>
      <c r="Y43">
        <v>0.26500000000000001</v>
      </c>
      <c r="Z43">
        <v>1.417</v>
      </c>
      <c r="AA43" s="4">
        <v>0.251</v>
      </c>
      <c r="AB43" s="4">
        <v>0.67400000000000004</v>
      </c>
      <c r="AC43" s="4">
        <v>0.30499999999999999</v>
      </c>
      <c r="AD43" s="12">
        <v>46606.8</v>
      </c>
      <c r="AE43" s="1">
        <v>-10330.166999999999</v>
      </c>
      <c r="AF43" s="13">
        <f t="shared" si="9"/>
        <v>266</v>
      </c>
      <c r="AG43" s="4">
        <f t="shared" si="10"/>
        <v>3.8652119951269661</v>
      </c>
      <c r="AH43" s="5">
        <f t="shared" si="11"/>
        <v>0.48436483329828295</v>
      </c>
      <c r="AI43" s="4">
        <f t="shared" si="12"/>
        <v>0.84925353845467944</v>
      </c>
      <c r="AJ43" s="4">
        <f t="shared" si="13"/>
        <v>0.74320476171223004</v>
      </c>
      <c r="AK43" s="14">
        <f t="shared" si="14"/>
        <v>47002.609898160503</v>
      </c>
      <c r="AL43" s="14">
        <f t="shared" si="15"/>
        <v>-10406.941293036825</v>
      </c>
      <c r="AM43" s="15">
        <f t="shared" si="16"/>
        <v>1.0084925353845469</v>
      </c>
      <c r="AN43" s="15">
        <f t="shared" si="17"/>
        <v>1.0074320476171224</v>
      </c>
    </row>
    <row r="44" spans="1:40" x14ac:dyDescent="0.2">
      <c r="A44">
        <v>158700</v>
      </c>
      <c r="B44">
        <v>1996</v>
      </c>
      <c r="C44">
        <v>211</v>
      </c>
      <c r="D44" t="s">
        <v>40</v>
      </c>
      <c r="E44" t="s">
        <v>41</v>
      </c>
      <c r="F44">
        <v>3413</v>
      </c>
      <c r="G44" s="1">
        <v>272.89999999999998</v>
      </c>
      <c r="H44">
        <v>336</v>
      </c>
      <c r="I44" s="2">
        <v>43371</v>
      </c>
      <c r="J44">
        <v>1800</v>
      </c>
      <c r="K44">
        <v>0</v>
      </c>
      <c r="L44" s="1">
        <v>57.2</v>
      </c>
      <c r="M44" s="1">
        <v>886.2</v>
      </c>
      <c r="N44" s="1">
        <v>64.900000000000006</v>
      </c>
      <c r="O44" s="3">
        <v>2.1229999999999999E-3</v>
      </c>
      <c r="P44" s="4">
        <v>1.1040000000000001</v>
      </c>
      <c r="Q44" s="4">
        <v>0.152</v>
      </c>
      <c r="R44" s="1">
        <v>274.8</v>
      </c>
      <c r="S44" s="1">
        <v>219.2</v>
      </c>
      <c r="T44" s="1">
        <v>89</v>
      </c>
      <c r="U44" s="1">
        <v>130.19999999999999</v>
      </c>
      <c r="V44" s="1">
        <v>120.1</v>
      </c>
      <c r="W44" s="1">
        <v>170.5</v>
      </c>
      <c r="X44" s="1">
        <v>85.7</v>
      </c>
      <c r="Y44">
        <v>0.188</v>
      </c>
      <c r="Z44">
        <v>1.173</v>
      </c>
      <c r="AA44" s="4">
        <v>0.22500000000000001</v>
      </c>
      <c r="AB44" s="4">
        <v>0.80100000000000005</v>
      </c>
      <c r="AC44" s="4">
        <v>0.316</v>
      </c>
      <c r="AD44" s="12">
        <v>23231.599999999999</v>
      </c>
      <c r="AE44" s="1">
        <v>-2946.7275</v>
      </c>
      <c r="AF44" s="13">
        <f t="shared" si="9"/>
        <v>267</v>
      </c>
      <c r="AG44" s="4">
        <f t="shared" si="10"/>
        <v>3.9414415439899191</v>
      </c>
      <c r="AH44" s="5">
        <f t="shared" si="11"/>
        <v>0.49391745622658745</v>
      </c>
      <c r="AI44" s="4">
        <f t="shared" si="12"/>
        <v>0.86751022481656714</v>
      </c>
      <c r="AJ44" s="4">
        <f t="shared" si="13"/>
        <v>0.76031207648338417</v>
      </c>
      <c r="AK44" s="14">
        <f t="shared" si="14"/>
        <v>23433.136505388484</v>
      </c>
      <c r="AL44" s="14">
        <f t="shared" si="15"/>
        <v>-2969.131825043557</v>
      </c>
      <c r="AM44" s="15">
        <f t="shared" si="16"/>
        <v>1.0086751022481657</v>
      </c>
      <c r="AN44" s="15">
        <f t="shared" si="17"/>
        <v>1.0076031207648339</v>
      </c>
    </row>
    <row r="45" spans="1:40" x14ac:dyDescent="0.2">
      <c r="A45">
        <v>158700</v>
      </c>
      <c r="B45">
        <v>1996</v>
      </c>
      <c r="C45">
        <v>211</v>
      </c>
      <c r="D45" t="s">
        <v>40</v>
      </c>
      <c r="E45" t="s">
        <v>42</v>
      </c>
      <c r="F45">
        <v>3413</v>
      </c>
      <c r="G45" s="1">
        <v>908.2</v>
      </c>
      <c r="H45">
        <v>504</v>
      </c>
      <c r="I45" s="2">
        <v>43371</v>
      </c>
      <c r="J45">
        <v>1801</v>
      </c>
      <c r="K45">
        <v>0</v>
      </c>
      <c r="L45" s="1">
        <v>85.4</v>
      </c>
      <c r="M45" s="1">
        <v>839.9</v>
      </c>
      <c r="N45" s="1">
        <v>111.7</v>
      </c>
      <c r="O45" s="3">
        <v>8.966E-3</v>
      </c>
      <c r="P45" s="4">
        <v>1.006</v>
      </c>
      <c r="Q45" s="4">
        <v>0.19</v>
      </c>
      <c r="R45" s="1">
        <v>248.7</v>
      </c>
      <c r="S45" s="1">
        <v>828.8</v>
      </c>
      <c r="T45" s="1">
        <v>333.8</v>
      </c>
      <c r="U45" s="1">
        <v>495</v>
      </c>
      <c r="V45" s="1">
        <v>189.7</v>
      </c>
      <c r="W45" s="1">
        <v>207.4</v>
      </c>
      <c r="X45" s="1">
        <v>177.9</v>
      </c>
      <c r="Y45">
        <v>0.28399999999999997</v>
      </c>
      <c r="Z45">
        <v>1.327</v>
      </c>
      <c r="AA45" s="4">
        <v>0.26400000000000001</v>
      </c>
      <c r="AB45" s="4">
        <v>0.69299999999999995</v>
      </c>
      <c r="AC45" s="4">
        <v>0.29699999999999999</v>
      </c>
      <c r="AD45" s="12">
        <v>44458.1</v>
      </c>
      <c r="AE45" s="1">
        <v>-11260.968000000001</v>
      </c>
      <c r="AF45" s="13">
        <f t="shared" si="9"/>
        <v>267</v>
      </c>
      <c r="AG45" s="4">
        <f t="shared" si="10"/>
        <v>3.9414415439899191</v>
      </c>
      <c r="AH45" s="5">
        <f t="shared" si="11"/>
        <v>0.49391745622658745</v>
      </c>
      <c r="AI45" s="4">
        <f t="shared" si="12"/>
        <v>0.86751022481656714</v>
      </c>
      <c r="AJ45" s="4">
        <f t="shared" si="13"/>
        <v>0.76031207648338417</v>
      </c>
      <c r="AK45" s="14">
        <f t="shared" si="14"/>
        <v>44843.778563259177</v>
      </c>
      <c r="AL45" s="14">
        <f t="shared" si="15"/>
        <v>-11346.586499632931</v>
      </c>
      <c r="AM45" s="15">
        <f t="shared" si="16"/>
        <v>1.0086751022481657</v>
      </c>
      <c r="AN45" s="15">
        <f t="shared" si="17"/>
        <v>1.0076031207648339</v>
      </c>
    </row>
    <row r="46" spans="1:40" x14ac:dyDescent="0.2">
      <c r="A46">
        <v>158719</v>
      </c>
      <c r="B46">
        <v>1983</v>
      </c>
      <c r="C46">
        <v>212</v>
      </c>
      <c r="D46" t="s">
        <v>43</v>
      </c>
      <c r="E46" t="s">
        <v>41</v>
      </c>
      <c r="F46">
        <v>3413</v>
      </c>
      <c r="G46" s="1">
        <v>201</v>
      </c>
      <c r="H46">
        <v>336</v>
      </c>
      <c r="I46" s="2">
        <v>43374</v>
      </c>
      <c r="J46">
        <v>1806</v>
      </c>
      <c r="K46">
        <v>0</v>
      </c>
      <c r="L46" s="1">
        <v>43.7</v>
      </c>
      <c r="M46" s="1">
        <v>974.7</v>
      </c>
      <c r="N46" s="1">
        <v>55.4</v>
      </c>
      <c r="O46" s="3">
        <v>2.3479999999999998E-3</v>
      </c>
      <c r="P46" s="4">
        <v>1.0089999999999999</v>
      </c>
      <c r="Q46" s="4">
        <v>0.123</v>
      </c>
      <c r="R46" s="1">
        <v>315</v>
      </c>
      <c r="S46" s="1">
        <v>160.4</v>
      </c>
      <c r="T46" s="1">
        <v>65.3</v>
      </c>
      <c r="U46" s="1">
        <v>95.1</v>
      </c>
      <c r="V46" s="1">
        <v>140.9</v>
      </c>
      <c r="W46" s="1">
        <v>204.3</v>
      </c>
      <c r="X46" s="1">
        <v>97.1</v>
      </c>
      <c r="Y46">
        <v>0.19500000000000001</v>
      </c>
      <c r="Z46">
        <v>1.522</v>
      </c>
      <c r="AA46" s="4">
        <v>0.21199999999999999</v>
      </c>
      <c r="AB46" s="4">
        <v>0.63100000000000001</v>
      </c>
      <c r="AC46" s="4">
        <v>0.24</v>
      </c>
      <c r="AD46" s="12">
        <v>22754.799999999999</v>
      </c>
      <c r="AE46" s="1">
        <v>-3137.8528000000001</v>
      </c>
      <c r="AF46" s="13">
        <f t="shared" si="9"/>
        <v>270</v>
      </c>
      <c r="AG46" s="4">
        <f t="shared" si="10"/>
        <v>4.1792697507757168</v>
      </c>
      <c r="AH46" s="5">
        <f t="shared" si="11"/>
        <v>0.52372063904777932</v>
      </c>
      <c r="AI46" s="4">
        <f t="shared" si="12"/>
        <v>0.92446917372894444</v>
      </c>
      <c r="AJ46" s="4">
        <f t="shared" si="13"/>
        <v>0.81368510643871561</v>
      </c>
      <c r="AK46" s="14">
        <f t="shared" si="14"/>
        <v>22965.161111543675</v>
      </c>
      <c r="AL46" s="14">
        <f t="shared" si="15"/>
        <v>-3163.38504089557</v>
      </c>
      <c r="AM46" s="15">
        <f t="shared" si="16"/>
        <v>1.0092446917372895</v>
      </c>
      <c r="AN46" s="15">
        <f t="shared" si="17"/>
        <v>1.0081368510643871</v>
      </c>
    </row>
    <row r="47" spans="1:40" x14ac:dyDescent="0.2">
      <c r="A47">
        <v>158719</v>
      </c>
      <c r="B47">
        <v>1983</v>
      </c>
      <c r="C47">
        <v>212</v>
      </c>
      <c r="D47" t="s">
        <v>43</v>
      </c>
      <c r="E47" t="s">
        <v>42</v>
      </c>
      <c r="F47">
        <v>3413</v>
      </c>
      <c r="G47" s="1">
        <v>699.5</v>
      </c>
      <c r="H47">
        <v>504</v>
      </c>
      <c r="I47" s="2">
        <v>43374</v>
      </c>
      <c r="J47">
        <v>1809</v>
      </c>
      <c r="K47">
        <v>0</v>
      </c>
      <c r="L47" s="1">
        <v>77.2</v>
      </c>
      <c r="M47" s="1">
        <v>857</v>
      </c>
      <c r="N47" s="1">
        <v>100.8</v>
      </c>
      <c r="O47" s="3">
        <v>1.6364E-2</v>
      </c>
      <c r="P47" s="4">
        <v>0.97899999999999998</v>
      </c>
      <c r="Q47" s="4">
        <v>0.218</v>
      </c>
      <c r="R47" s="1">
        <v>250</v>
      </c>
      <c r="S47" s="1">
        <v>627.6</v>
      </c>
      <c r="T47" s="1">
        <v>252.9</v>
      </c>
      <c r="U47" s="1">
        <v>374.6</v>
      </c>
      <c r="V47" s="1">
        <v>178.1</v>
      </c>
      <c r="W47" s="1">
        <v>218.5</v>
      </c>
      <c r="X47" s="1">
        <v>150.6</v>
      </c>
      <c r="Y47">
        <v>0.255</v>
      </c>
      <c r="Z47">
        <v>1.627</v>
      </c>
      <c r="AA47" s="4">
        <v>0.23300000000000001</v>
      </c>
      <c r="AB47" s="4">
        <v>0.57799999999999996</v>
      </c>
      <c r="AC47" s="4">
        <v>0.23200000000000001</v>
      </c>
      <c r="AD47" s="12">
        <v>34922.199999999997</v>
      </c>
      <c r="AE47" s="1">
        <v>-8578.2099999999991</v>
      </c>
      <c r="AF47" s="13">
        <f t="shared" si="9"/>
        <v>270</v>
      </c>
      <c r="AG47" s="4">
        <f t="shared" si="10"/>
        <v>4.1792697507757168</v>
      </c>
      <c r="AH47" s="5">
        <f t="shared" si="11"/>
        <v>0.52372063904777932</v>
      </c>
      <c r="AI47" s="4">
        <f t="shared" si="12"/>
        <v>0.92446917372894444</v>
      </c>
      <c r="AJ47" s="4">
        <f t="shared" si="13"/>
        <v>0.81368510643871561</v>
      </c>
      <c r="AK47" s="14">
        <f t="shared" si="14"/>
        <v>35245.044973787968</v>
      </c>
      <c r="AL47" s="14">
        <f t="shared" si="15"/>
        <v>-8648.0096171690348</v>
      </c>
      <c r="AM47" s="15">
        <f t="shared" si="16"/>
        <v>1.0092446917372895</v>
      </c>
      <c r="AN47" s="15">
        <f t="shared" si="17"/>
        <v>1.0081368510643871</v>
      </c>
    </row>
    <row r="48" spans="1:40" x14ac:dyDescent="0.2">
      <c r="A48">
        <v>158720</v>
      </c>
      <c r="B48">
        <v>1987</v>
      </c>
      <c r="C48">
        <v>213</v>
      </c>
      <c r="D48" t="s">
        <v>40</v>
      </c>
      <c r="E48" t="s">
        <v>41</v>
      </c>
      <c r="F48">
        <v>3413</v>
      </c>
      <c r="G48" s="1">
        <v>393.9</v>
      </c>
      <c r="H48">
        <v>336</v>
      </c>
      <c r="I48" s="2">
        <v>43376</v>
      </c>
      <c r="J48">
        <v>1812</v>
      </c>
      <c r="K48">
        <v>0</v>
      </c>
      <c r="L48" s="1">
        <v>71.3</v>
      </c>
      <c r="M48" s="1">
        <v>946.5</v>
      </c>
      <c r="N48" s="1">
        <v>77.400000000000006</v>
      </c>
      <c r="O48" s="3">
        <v>1.3179999999999999E-3</v>
      </c>
      <c r="P48" s="4">
        <v>1.177</v>
      </c>
      <c r="Q48" s="4">
        <v>0.12</v>
      </c>
      <c r="R48" s="1">
        <v>269.5</v>
      </c>
      <c r="S48" s="1">
        <v>327</v>
      </c>
      <c r="T48" s="1">
        <v>132.4</v>
      </c>
      <c r="U48" s="1">
        <v>194.6</v>
      </c>
      <c r="V48" s="1">
        <v>126.1</v>
      </c>
      <c r="W48" s="1">
        <v>171.7</v>
      </c>
      <c r="X48" s="1">
        <v>95.2</v>
      </c>
      <c r="Y48">
        <v>0.19400000000000001</v>
      </c>
      <c r="Z48">
        <v>1.1830000000000001</v>
      </c>
      <c r="AA48" s="4">
        <v>0.23300000000000001</v>
      </c>
      <c r="AB48" s="4">
        <v>0.79600000000000004</v>
      </c>
      <c r="AC48" s="4">
        <v>0.29799999999999999</v>
      </c>
      <c r="AD48" s="12">
        <v>35034.6</v>
      </c>
      <c r="AE48" s="1">
        <v>-4789.3760000000002</v>
      </c>
      <c r="AF48" s="13">
        <f t="shared" si="9"/>
        <v>272</v>
      </c>
      <c r="AG48" s="4">
        <f t="shared" si="10"/>
        <v>4.3457420667703692</v>
      </c>
      <c r="AH48" s="5">
        <f t="shared" si="11"/>
        <v>0.54458193609621719</v>
      </c>
      <c r="AI48" s="4">
        <f t="shared" si="12"/>
        <v>0.96433865880900738</v>
      </c>
      <c r="AJ48" s="4">
        <f t="shared" si="13"/>
        <v>0.85104456025791053</v>
      </c>
      <c r="AK48" s="14">
        <f t="shared" si="14"/>
        <v>35372.452191759097</v>
      </c>
      <c r="AL48" s="14">
        <f t="shared" si="15"/>
        <v>-4830.135723918298</v>
      </c>
      <c r="AM48" s="15">
        <f t="shared" si="16"/>
        <v>1.0096433865880901</v>
      </c>
      <c r="AN48" s="15">
        <f t="shared" si="17"/>
        <v>1.0085104456025791</v>
      </c>
    </row>
    <row r="49" spans="1:40" x14ac:dyDescent="0.2">
      <c r="A49">
        <v>158720</v>
      </c>
      <c r="B49">
        <v>1987</v>
      </c>
      <c r="C49">
        <v>213</v>
      </c>
      <c r="D49" t="s">
        <v>40</v>
      </c>
      <c r="E49" t="s">
        <v>42</v>
      </c>
      <c r="F49">
        <v>3413</v>
      </c>
      <c r="G49" s="1">
        <v>1049.5</v>
      </c>
      <c r="H49">
        <v>504</v>
      </c>
      <c r="I49" s="2">
        <v>43376</v>
      </c>
      <c r="J49">
        <v>1813</v>
      </c>
      <c r="K49">
        <v>0</v>
      </c>
      <c r="L49" s="1">
        <v>123.9</v>
      </c>
      <c r="M49" s="1">
        <v>851.9</v>
      </c>
      <c r="N49" s="1">
        <v>125.5</v>
      </c>
      <c r="O49" s="3">
        <v>1.9748000000000002E-2</v>
      </c>
      <c r="P49" s="4">
        <v>1.3180000000000001</v>
      </c>
      <c r="Q49" s="4">
        <v>0.22500000000000001</v>
      </c>
      <c r="R49" s="1">
        <v>284.7</v>
      </c>
      <c r="S49" s="1">
        <v>932.3</v>
      </c>
      <c r="T49" s="1">
        <v>375.3</v>
      </c>
      <c r="U49" s="1">
        <v>557.1</v>
      </c>
      <c r="V49" s="1">
        <v>211.1</v>
      </c>
      <c r="W49" s="1">
        <v>243.8</v>
      </c>
      <c r="X49" s="1">
        <v>189.2</v>
      </c>
      <c r="Y49">
        <v>0.308</v>
      </c>
      <c r="Z49">
        <v>1.329</v>
      </c>
      <c r="AA49" s="4">
        <v>0.29799999999999999</v>
      </c>
      <c r="AB49" s="4">
        <v>0.71099999999999997</v>
      </c>
      <c r="AC49" s="4">
        <v>0.309</v>
      </c>
      <c r="AD49" s="12">
        <v>59887.4</v>
      </c>
      <c r="AE49" s="1">
        <v>-14817.12</v>
      </c>
      <c r="AF49" s="13">
        <f t="shared" si="9"/>
        <v>272</v>
      </c>
      <c r="AG49" s="4">
        <f t="shared" si="10"/>
        <v>4.3457420667703692</v>
      </c>
      <c r="AH49" s="5">
        <f t="shared" si="11"/>
        <v>0.54458193609621719</v>
      </c>
      <c r="AI49" s="4">
        <f t="shared" si="12"/>
        <v>0.96433865880900738</v>
      </c>
      <c r="AJ49" s="4">
        <f t="shared" si="13"/>
        <v>0.85104456025791053</v>
      </c>
      <c r="AK49" s="14">
        <f t="shared" si="14"/>
        <v>60464.917349955584</v>
      </c>
      <c r="AL49" s="14">
        <f t="shared" si="15"/>
        <v>-14943.220293746886</v>
      </c>
      <c r="AM49" s="15">
        <f t="shared" si="16"/>
        <v>1.0096433865880901</v>
      </c>
      <c r="AN49" s="15">
        <f t="shared" si="17"/>
        <v>1.0085104456025791</v>
      </c>
    </row>
    <row r="50" spans="1:40" x14ac:dyDescent="0.2">
      <c r="A50">
        <v>158721</v>
      </c>
      <c r="B50">
        <v>1989</v>
      </c>
      <c r="C50">
        <v>214</v>
      </c>
      <c r="D50" t="s">
        <v>43</v>
      </c>
      <c r="E50" t="s">
        <v>41</v>
      </c>
      <c r="F50">
        <v>3413</v>
      </c>
      <c r="G50" s="1">
        <v>294</v>
      </c>
      <c r="H50">
        <v>336</v>
      </c>
      <c r="I50" s="2">
        <v>43377</v>
      </c>
      <c r="J50">
        <v>1817</v>
      </c>
      <c r="K50">
        <v>0</v>
      </c>
      <c r="L50" s="1">
        <v>57.6</v>
      </c>
      <c r="M50" s="1">
        <v>953.1</v>
      </c>
      <c r="N50" s="1">
        <v>69</v>
      </c>
      <c r="O50" s="3">
        <v>3.2650000000000001E-3</v>
      </c>
      <c r="P50" s="4">
        <v>1.032</v>
      </c>
      <c r="Q50" s="4">
        <v>0.13400000000000001</v>
      </c>
      <c r="R50" s="1">
        <v>278.3</v>
      </c>
      <c r="S50" s="1">
        <v>240.3</v>
      </c>
      <c r="T50" s="1">
        <v>97.5</v>
      </c>
      <c r="U50" s="1">
        <v>142.80000000000001</v>
      </c>
      <c r="V50" s="1">
        <v>121.7</v>
      </c>
      <c r="W50" s="1">
        <v>175.2</v>
      </c>
      <c r="X50" s="1">
        <v>84.9</v>
      </c>
      <c r="Y50">
        <v>0.17599999999999999</v>
      </c>
      <c r="Z50">
        <v>1.407</v>
      </c>
      <c r="AA50" s="4">
        <v>0.21199999999999999</v>
      </c>
      <c r="AB50" s="4">
        <v>0.66800000000000004</v>
      </c>
      <c r="AC50" s="4">
        <v>0.215</v>
      </c>
      <c r="AD50" s="12">
        <v>27763.599999999999</v>
      </c>
      <c r="AE50" s="1">
        <v>-3873.7296999999999</v>
      </c>
      <c r="AF50" s="13">
        <f t="shared" si="9"/>
        <v>273</v>
      </c>
      <c r="AG50" s="4">
        <f t="shared" si="10"/>
        <v>4.4314486095530974</v>
      </c>
      <c r="AH50" s="5">
        <f t="shared" si="11"/>
        <v>0.55532215820042929</v>
      </c>
      <c r="AI50" s="4">
        <f t="shared" si="12"/>
        <v>0.98486504908791439</v>
      </c>
      <c r="AJ50" s="4">
        <f t="shared" si="13"/>
        <v>0.87027868701323885</v>
      </c>
      <c r="AK50" s="14">
        <f t="shared" si="14"/>
        <v>28037.033992768575</v>
      </c>
      <c r="AL50" s="14">
        <f t="shared" si="15"/>
        <v>-3907.4419439716016</v>
      </c>
      <c r="AM50" s="15">
        <f t="shared" si="16"/>
        <v>1.0098486504908792</v>
      </c>
      <c r="AN50" s="15">
        <f t="shared" si="17"/>
        <v>1.0087027868701324</v>
      </c>
    </row>
    <row r="51" spans="1:40" x14ac:dyDescent="0.2">
      <c r="A51">
        <v>158721</v>
      </c>
      <c r="B51">
        <v>1989</v>
      </c>
      <c r="C51">
        <v>214</v>
      </c>
      <c r="D51" t="s">
        <v>43</v>
      </c>
      <c r="E51" t="s">
        <v>42</v>
      </c>
      <c r="F51">
        <v>3413</v>
      </c>
      <c r="G51" s="1">
        <v>906.2</v>
      </c>
      <c r="H51">
        <v>504</v>
      </c>
      <c r="I51" s="2">
        <v>43377</v>
      </c>
      <c r="J51">
        <v>1818</v>
      </c>
      <c r="K51">
        <v>0</v>
      </c>
      <c r="L51" s="1">
        <v>94</v>
      </c>
      <c r="M51" s="1">
        <v>845.9</v>
      </c>
      <c r="N51" s="1">
        <v>115.2</v>
      </c>
      <c r="O51" s="3">
        <v>1.5205E-2</v>
      </c>
      <c r="P51" s="4">
        <v>1.0880000000000001</v>
      </c>
      <c r="Q51" s="4">
        <v>0.20899999999999999</v>
      </c>
      <c r="R51" s="1">
        <v>264.8</v>
      </c>
      <c r="S51" s="1">
        <v>818.4</v>
      </c>
      <c r="T51" s="1">
        <v>329.7</v>
      </c>
      <c r="U51" s="1">
        <v>488.7</v>
      </c>
      <c r="V51" s="1">
        <v>200.1</v>
      </c>
      <c r="W51" s="1">
        <v>223.6</v>
      </c>
      <c r="X51" s="1">
        <v>184.3</v>
      </c>
      <c r="Y51">
        <v>0.28399999999999997</v>
      </c>
      <c r="Z51">
        <v>1.63</v>
      </c>
      <c r="AA51" s="4">
        <v>0.27800000000000002</v>
      </c>
      <c r="AB51" s="4">
        <v>0.56799999999999995</v>
      </c>
      <c r="AC51" s="4">
        <v>0.21099999999999999</v>
      </c>
      <c r="AD51" s="12">
        <v>48463</v>
      </c>
      <c r="AE51" s="1">
        <v>-12264.26</v>
      </c>
      <c r="AF51" s="13">
        <f t="shared" si="9"/>
        <v>273</v>
      </c>
      <c r="AG51" s="4">
        <f t="shared" si="10"/>
        <v>4.4314486095530974</v>
      </c>
      <c r="AH51" s="5">
        <f t="shared" si="11"/>
        <v>0.55532215820042929</v>
      </c>
      <c r="AI51" s="4">
        <f t="shared" si="12"/>
        <v>0.98486504908791439</v>
      </c>
      <c r="AJ51" s="4">
        <f t="shared" si="13"/>
        <v>0.87027868701323885</v>
      </c>
      <c r="AK51" s="14">
        <f t="shared" si="14"/>
        <v>48940.295148739482</v>
      </c>
      <c r="AL51" s="14">
        <f t="shared" si="15"/>
        <v>-12370.99324089989</v>
      </c>
      <c r="AM51" s="15">
        <f t="shared" si="16"/>
        <v>1.0098486504908792</v>
      </c>
      <c r="AN51" s="15">
        <f t="shared" si="17"/>
        <v>1.0087027868701324</v>
      </c>
    </row>
    <row r="52" spans="1:40" x14ac:dyDescent="0.2">
      <c r="A52">
        <v>158722</v>
      </c>
      <c r="B52">
        <v>1988</v>
      </c>
      <c r="C52">
        <v>215</v>
      </c>
      <c r="D52" t="s">
        <v>43</v>
      </c>
      <c r="E52" t="s">
        <v>44</v>
      </c>
      <c r="F52">
        <v>3413</v>
      </c>
      <c r="G52" s="1">
        <v>236.8</v>
      </c>
      <c r="H52">
        <v>336</v>
      </c>
      <c r="I52" s="2">
        <v>43378</v>
      </c>
      <c r="J52">
        <v>1822</v>
      </c>
      <c r="K52">
        <v>0</v>
      </c>
      <c r="L52" s="1">
        <v>54.1</v>
      </c>
      <c r="M52" s="1">
        <v>945.1</v>
      </c>
      <c r="N52" s="1">
        <v>60.9</v>
      </c>
      <c r="O52" s="3">
        <v>4.8380000000000003E-3</v>
      </c>
      <c r="P52" s="4">
        <v>1.1100000000000001</v>
      </c>
      <c r="Q52" s="4">
        <v>0.156</v>
      </c>
      <c r="R52" s="1">
        <v>351.4</v>
      </c>
      <c r="S52" s="1">
        <v>186.1</v>
      </c>
      <c r="T52" s="1">
        <v>75.7</v>
      </c>
      <c r="U52" s="1">
        <v>110.4</v>
      </c>
      <c r="V52" s="1">
        <v>183.3</v>
      </c>
      <c r="W52" s="1">
        <v>239.9</v>
      </c>
      <c r="X52" s="1">
        <v>144.6</v>
      </c>
      <c r="Y52">
        <v>0.26600000000000001</v>
      </c>
      <c r="Z52">
        <v>1.575</v>
      </c>
      <c r="AA52" s="4">
        <v>0.222</v>
      </c>
      <c r="AB52" s="4">
        <v>0.57199999999999995</v>
      </c>
      <c r="AC52" s="4">
        <v>0.20799999999999999</v>
      </c>
      <c r="AD52" s="12">
        <v>32201.7</v>
      </c>
      <c r="AE52" s="1">
        <v>-4604.7808000000005</v>
      </c>
      <c r="AF52" s="13">
        <f t="shared" si="9"/>
        <v>274</v>
      </c>
      <c r="AG52" s="4">
        <f t="shared" si="10"/>
        <v>4.5188454531780957</v>
      </c>
      <c r="AH52" s="5">
        <f t="shared" si="11"/>
        <v>0.56627419851454086</v>
      </c>
      <c r="AI52" s="4">
        <f t="shared" si="12"/>
        <v>1.0057962599750352</v>
      </c>
      <c r="AJ52" s="4">
        <f t="shared" si="13"/>
        <v>0.88989214840976549</v>
      </c>
      <c r="AK52" s="14">
        <f t="shared" si="14"/>
        <v>32525.583494248382</v>
      </c>
      <c r="AL52" s="14">
        <f t="shared" si="15"/>
        <v>-4645.758382790681</v>
      </c>
      <c r="AM52" s="15">
        <f t="shared" si="16"/>
        <v>1.0100579625997503</v>
      </c>
      <c r="AN52" s="15">
        <f t="shared" si="17"/>
        <v>1.0088989214840978</v>
      </c>
    </row>
    <row r="53" spans="1:40" x14ac:dyDescent="0.2">
      <c r="A53">
        <v>158722</v>
      </c>
      <c r="B53">
        <v>1988</v>
      </c>
      <c r="C53">
        <v>215</v>
      </c>
      <c r="D53" t="s">
        <v>43</v>
      </c>
      <c r="E53" t="s">
        <v>45</v>
      </c>
      <c r="F53">
        <v>3413</v>
      </c>
      <c r="G53">
        <v>865</v>
      </c>
      <c r="H53">
        <v>504</v>
      </c>
      <c r="I53" s="2">
        <v>43378</v>
      </c>
      <c r="J53">
        <v>1825</v>
      </c>
      <c r="K53">
        <v>0</v>
      </c>
      <c r="L53">
        <v>90.1</v>
      </c>
      <c r="M53">
        <v>858.9</v>
      </c>
      <c r="N53">
        <v>110.2</v>
      </c>
      <c r="O53">
        <v>1.7384E-2</v>
      </c>
      <c r="P53">
        <v>1.1439999999999999</v>
      </c>
      <c r="Q53">
        <v>0.21299999999999999</v>
      </c>
      <c r="R53">
        <v>228.1</v>
      </c>
      <c r="S53">
        <v>780.9</v>
      </c>
      <c r="T53">
        <v>314.5</v>
      </c>
      <c r="U53">
        <v>466.4</v>
      </c>
      <c r="V53">
        <v>157.80000000000001</v>
      </c>
      <c r="W53">
        <v>179.8</v>
      </c>
      <c r="X53">
        <v>142.9</v>
      </c>
      <c r="Y53">
        <v>0.22700000000000001</v>
      </c>
      <c r="Z53">
        <v>1.5189999999999999</v>
      </c>
      <c r="AA53">
        <v>0.23</v>
      </c>
      <c r="AB53">
        <v>0.63500000000000001</v>
      </c>
      <c r="AC53">
        <v>0.26200000000000001</v>
      </c>
      <c r="AD53" s="12">
        <v>32650.3</v>
      </c>
      <c r="AE53" s="1">
        <v>-7195.1728999999996</v>
      </c>
      <c r="AF53" s="13">
        <f t="shared" si="9"/>
        <v>274</v>
      </c>
      <c r="AG53" s="4">
        <f t="shared" si="10"/>
        <v>4.5188454531780957</v>
      </c>
      <c r="AH53" s="5">
        <f t="shared" si="11"/>
        <v>0.56627419851454086</v>
      </c>
      <c r="AI53" s="4">
        <f t="shared" si="12"/>
        <v>1.0057962599750352</v>
      </c>
      <c r="AJ53" s="4">
        <f t="shared" si="13"/>
        <v>0.88989214840976549</v>
      </c>
      <c r="AK53" s="14">
        <f t="shared" si="14"/>
        <v>32978.69549627063</v>
      </c>
      <c r="AL53" s="14">
        <f t="shared" si="15"/>
        <v>-7259.2021787016074</v>
      </c>
      <c r="AM53" s="15">
        <f t="shared" si="16"/>
        <v>1.0100579625997503</v>
      </c>
      <c r="AN53" s="15">
        <f t="shared" si="17"/>
        <v>1.0088989214840978</v>
      </c>
    </row>
    <row r="54" spans="1:40" x14ac:dyDescent="0.2">
      <c r="A54">
        <v>158760</v>
      </c>
      <c r="B54">
        <v>1998</v>
      </c>
      <c r="C54">
        <v>216</v>
      </c>
      <c r="D54" t="s">
        <v>43</v>
      </c>
      <c r="E54" t="s">
        <v>41</v>
      </c>
      <c r="F54">
        <v>3413</v>
      </c>
      <c r="G54" s="1">
        <v>239.9</v>
      </c>
      <c r="H54">
        <v>336</v>
      </c>
      <c r="I54" s="2">
        <v>43381</v>
      </c>
      <c r="J54">
        <v>1828</v>
      </c>
      <c r="K54">
        <v>0</v>
      </c>
      <c r="L54" s="1">
        <v>44.2</v>
      </c>
      <c r="M54" s="1">
        <v>862.4</v>
      </c>
      <c r="N54" s="1">
        <v>61.7</v>
      </c>
      <c r="O54" s="3">
        <v>2.4589999999999998E-3</v>
      </c>
      <c r="P54" s="4">
        <v>0.91400000000000003</v>
      </c>
      <c r="Q54" s="4">
        <v>0.14299999999999999</v>
      </c>
      <c r="R54" s="1">
        <v>240.5</v>
      </c>
      <c r="S54" s="1">
        <v>199.2</v>
      </c>
      <c r="T54" s="1">
        <v>81</v>
      </c>
      <c r="U54" s="1">
        <v>118.3</v>
      </c>
      <c r="V54" s="1">
        <v>108.6</v>
      </c>
      <c r="W54" s="1">
        <v>157.1</v>
      </c>
      <c r="X54" s="1">
        <v>75.599999999999994</v>
      </c>
      <c r="Y54">
        <v>0.156</v>
      </c>
      <c r="Z54">
        <v>1.3260000000000001</v>
      </c>
      <c r="AA54" s="4">
        <v>0.19400000000000001</v>
      </c>
      <c r="AB54" s="4">
        <v>0.72599999999999998</v>
      </c>
      <c r="AC54" s="4">
        <v>0.30099999999999999</v>
      </c>
      <c r="AD54" s="12">
        <v>15979.2</v>
      </c>
      <c r="AE54" s="1">
        <v>-1844.3613</v>
      </c>
      <c r="AF54" s="13">
        <f t="shared" si="9"/>
        <v>277</v>
      </c>
      <c r="AG54" s="4">
        <f t="shared" si="10"/>
        <v>4.7915144497563311</v>
      </c>
      <c r="AH54" s="5">
        <f t="shared" si="11"/>
        <v>0.600443416979074</v>
      </c>
      <c r="AI54" s="4">
        <f t="shared" si="12"/>
        <v>1.071099445227897</v>
      </c>
      <c r="AJ54" s="4">
        <f t="shared" si="13"/>
        <v>0.95108409329697463</v>
      </c>
      <c r="AK54" s="14">
        <f t="shared" si="14"/>
        <v>16150.353122551856</v>
      </c>
      <c r="AL54" s="14">
        <f t="shared" si="15"/>
        <v>-1861.9027269472256</v>
      </c>
      <c r="AM54" s="15">
        <f t="shared" si="16"/>
        <v>1.010710994452279</v>
      </c>
      <c r="AN54" s="15">
        <f t="shared" si="17"/>
        <v>1.0095108409329698</v>
      </c>
    </row>
    <row r="55" spans="1:40" x14ac:dyDescent="0.2">
      <c r="A55">
        <v>158760</v>
      </c>
      <c r="B55">
        <v>1998</v>
      </c>
      <c r="C55">
        <v>216</v>
      </c>
      <c r="D55" t="s">
        <v>43</v>
      </c>
      <c r="E55" t="s">
        <v>42</v>
      </c>
      <c r="F55">
        <v>3413</v>
      </c>
      <c r="G55" s="1">
        <v>806.1</v>
      </c>
      <c r="H55">
        <v>504</v>
      </c>
      <c r="I55" s="2">
        <v>43381</v>
      </c>
      <c r="J55">
        <v>1832</v>
      </c>
      <c r="K55">
        <v>0</v>
      </c>
      <c r="L55" s="1">
        <v>80.599999999999994</v>
      </c>
      <c r="M55" s="1">
        <v>828.6</v>
      </c>
      <c r="N55" s="1">
        <v>106.6</v>
      </c>
      <c r="O55" s="3">
        <v>1.3785E-2</v>
      </c>
      <c r="P55" s="4">
        <v>1.0049999999999999</v>
      </c>
      <c r="Q55" s="4">
        <v>0.188</v>
      </c>
      <c r="R55" s="1">
        <v>233.3</v>
      </c>
      <c r="S55" s="1">
        <v>731.3</v>
      </c>
      <c r="T55" s="1">
        <v>294.60000000000002</v>
      </c>
      <c r="U55" s="1">
        <v>436.8</v>
      </c>
      <c r="V55" s="1">
        <v>170.3</v>
      </c>
      <c r="W55" s="1">
        <v>196.9</v>
      </c>
      <c r="X55" s="1">
        <v>152.4</v>
      </c>
      <c r="Y55">
        <v>0.255</v>
      </c>
      <c r="Z55">
        <v>1.371</v>
      </c>
      <c r="AA55" s="4">
        <v>0.23599999999999999</v>
      </c>
      <c r="AB55" s="4">
        <v>0.68700000000000006</v>
      </c>
      <c r="AC55" s="4">
        <v>0.32600000000000001</v>
      </c>
      <c r="AD55" s="12">
        <v>33176.1</v>
      </c>
      <c r="AE55" s="1">
        <v>-7922.8320000000003</v>
      </c>
      <c r="AF55" s="13">
        <f t="shared" si="9"/>
        <v>277</v>
      </c>
      <c r="AG55" s="4">
        <f t="shared" si="10"/>
        <v>4.7915144497563311</v>
      </c>
      <c r="AH55" s="5">
        <f t="shared" si="11"/>
        <v>0.600443416979074</v>
      </c>
      <c r="AI55" s="4">
        <f t="shared" si="12"/>
        <v>1.071099445227897</v>
      </c>
      <c r="AJ55" s="4">
        <f t="shared" si="13"/>
        <v>0.95108409329697463</v>
      </c>
      <c r="AK55" s="14">
        <f t="shared" si="14"/>
        <v>33531.449023048248</v>
      </c>
      <c r="AL55" s="14">
        <f t="shared" si="15"/>
        <v>-7998.1847948906434</v>
      </c>
      <c r="AM55" s="15">
        <f t="shared" si="16"/>
        <v>1.010710994452279</v>
      </c>
      <c r="AN55" s="15">
        <f t="shared" si="17"/>
        <v>1.0095108409329698</v>
      </c>
    </row>
    <row r="56" spans="1:40" x14ac:dyDescent="0.2">
      <c r="A56">
        <v>158761</v>
      </c>
      <c r="B56">
        <v>1996</v>
      </c>
      <c r="C56">
        <v>217</v>
      </c>
      <c r="D56" t="s">
        <v>43</v>
      </c>
      <c r="E56" t="s">
        <v>41</v>
      </c>
      <c r="F56">
        <v>3413</v>
      </c>
      <c r="G56" s="1">
        <v>299</v>
      </c>
      <c r="H56">
        <v>336</v>
      </c>
      <c r="I56" s="2">
        <v>43382</v>
      </c>
      <c r="J56">
        <v>1835</v>
      </c>
      <c r="K56">
        <v>0</v>
      </c>
      <c r="L56" s="1">
        <v>62.9</v>
      </c>
      <c r="M56" s="1">
        <v>877.8</v>
      </c>
      <c r="N56" s="1">
        <v>70</v>
      </c>
      <c r="O56" s="3">
        <v>6.5690000000000002E-3</v>
      </c>
      <c r="P56" s="4">
        <v>1.157</v>
      </c>
      <c r="Q56" s="4">
        <v>0.17499999999999999</v>
      </c>
      <c r="R56" s="1">
        <v>327.9</v>
      </c>
      <c r="S56" s="1">
        <v>240</v>
      </c>
      <c r="T56" s="1">
        <v>97.5</v>
      </c>
      <c r="U56" s="1">
        <v>142.5</v>
      </c>
      <c r="V56" s="1">
        <v>188.2</v>
      </c>
      <c r="W56" s="1">
        <v>242.7</v>
      </c>
      <c r="X56" s="1">
        <v>150.80000000000001</v>
      </c>
      <c r="Y56">
        <v>0.27800000000000002</v>
      </c>
      <c r="Z56">
        <v>1.595</v>
      </c>
      <c r="AA56" s="4">
        <v>0.217</v>
      </c>
      <c r="AB56" s="4">
        <v>0.57199999999999995</v>
      </c>
      <c r="AC56" s="4">
        <v>0.21099999999999999</v>
      </c>
      <c r="AD56" s="12">
        <v>36110.400000000001</v>
      </c>
      <c r="AE56" s="1">
        <v>-5600.8076000000001</v>
      </c>
      <c r="AF56" s="13">
        <f t="shared" si="9"/>
        <v>278</v>
      </c>
      <c r="AG56" s="4">
        <f t="shared" si="10"/>
        <v>4.8860124967808511</v>
      </c>
      <c r="AH56" s="5">
        <f t="shared" si="11"/>
        <v>0.61228533686645692</v>
      </c>
      <c r="AI56" s="4">
        <f t="shared" si="12"/>
        <v>1.0937313672590665</v>
      </c>
      <c r="AJ56" s="4">
        <f t="shared" si="13"/>
        <v>0.97229119552729437</v>
      </c>
      <c r="AK56" s="14">
        <f t="shared" si="14"/>
        <v>36505.350771642727</v>
      </c>
      <c r="AL56" s="14">
        <f t="shared" si="15"/>
        <v>-5655.2637591732228</v>
      </c>
      <c r="AM56" s="15">
        <f t="shared" si="16"/>
        <v>1.0109373136725908</v>
      </c>
      <c r="AN56" s="15">
        <f t="shared" si="17"/>
        <v>1.0097229119552729</v>
      </c>
    </row>
    <row r="57" spans="1:40" x14ac:dyDescent="0.2">
      <c r="A57">
        <v>158761</v>
      </c>
      <c r="B57">
        <v>1996</v>
      </c>
      <c r="C57">
        <v>217</v>
      </c>
      <c r="D57" t="s">
        <v>43</v>
      </c>
      <c r="E57" t="s">
        <v>42</v>
      </c>
      <c r="F57">
        <v>3413</v>
      </c>
      <c r="G57" s="1">
        <v>928.7</v>
      </c>
      <c r="H57">
        <v>504</v>
      </c>
      <c r="I57" s="2">
        <v>43382</v>
      </c>
      <c r="J57">
        <v>1836</v>
      </c>
      <c r="K57">
        <v>0</v>
      </c>
      <c r="L57" s="1">
        <v>103.6</v>
      </c>
      <c r="M57" s="1">
        <v>825.3</v>
      </c>
      <c r="N57" s="1">
        <v>115.9</v>
      </c>
      <c r="O57" s="3">
        <v>2.9073000000000002E-2</v>
      </c>
      <c r="P57" s="4">
        <v>1.137</v>
      </c>
      <c r="Q57" s="4">
        <v>0.22500000000000001</v>
      </c>
      <c r="R57" s="1">
        <v>282.5</v>
      </c>
      <c r="S57" s="1">
        <v>831.4</v>
      </c>
      <c r="T57" s="1">
        <v>334.7</v>
      </c>
      <c r="U57" s="1">
        <v>496.7</v>
      </c>
      <c r="V57" s="1">
        <v>217.2</v>
      </c>
      <c r="W57" s="1">
        <v>238.6</v>
      </c>
      <c r="X57" s="1">
        <v>202.6</v>
      </c>
      <c r="Y57">
        <v>0.32</v>
      </c>
      <c r="Z57">
        <v>1.59</v>
      </c>
      <c r="AA57" s="4">
        <v>0.249</v>
      </c>
      <c r="AB57" s="4">
        <v>0.58399999999999996</v>
      </c>
      <c r="AC57" s="4">
        <v>0.24</v>
      </c>
      <c r="AD57" s="12">
        <v>54537.2</v>
      </c>
      <c r="AE57" s="1">
        <v>-14280.009</v>
      </c>
      <c r="AF57" s="13">
        <f t="shared" si="9"/>
        <v>278</v>
      </c>
      <c r="AG57" s="4">
        <f t="shared" si="10"/>
        <v>4.8860124967808511</v>
      </c>
      <c r="AH57" s="5">
        <f t="shared" si="11"/>
        <v>0.61228533686645692</v>
      </c>
      <c r="AI57" s="4">
        <f t="shared" si="12"/>
        <v>1.0937313672590665</v>
      </c>
      <c r="AJ57" s="4">
        <f t="shared" si="13"/>
        <v>0.97229119552729437</v>
      </c>
      <c r="AK57" s="14">
        <f t="shared" si="14"/>
        <v>55133.690463224812</v>
      </c>
      <c r="AL57" s="14">
        <f t="shared" si="15"/>
        <v>-14418.852270227504</v>
      </c>
      <c r="AM57" s="15">
        <f t="shared" si="16"/>
        <v>1.0109373136725908</v>
      </c>
      <c r="AN57" s="15">
        <f t="shared" si="17"/>
        <v>1.0097229119552729</v>
      </c>
    </row>
    <row r="58" spans="1:40" x14ac:dyDescent="0.2">
      <c r="A58">
        <v>158763</v>
      </c>
      <c r="B58">
        <v>1991</v>
      </c>
      <c r="C58">
        <v>219</v>
      </c>
      <c r="D58" t="s">
        <v>43</v>
      </c>
      <c r="E58" t="s">
        <v>41</v>
      </c>
      <c r="F58">
        <v>3413</v>
      </c>
      <c r="G58" s="1">
        <v>274.8</v>
      </c>
      <c r="H58">
        <v>336</v>
      </c>
      <c r="I58" s="2">
        <v>43384</v>
      </c>
      <c r="J58">
        <v>1845</v>
      </c>
      <c r="K58">
        <v>0</v>
      </c>
      <c r="L58" s="1">
        <v>41.9</v>
      </c>
      <c r="M58" s="1">
        <v>878.6</v>
      </c>
      <c r="N58" s="1">
        <v>63.9</v>
      </c>
      <c r="O58" s="3">
        <v>4.8510000000000003E-3</v>
      </c>
      <c r="P58" s="4">
        <v>0.79800000000000004</v>
      </c>
      <c r="Q58" s="4">
        <v>0.155</v>
      </c>
      <c r="R58" s="1">
        <v>253.5</v>
      </c>
      <c r="S58" s="1">
        <v>236.4</v>
      </c>
      <c r="T58" s="1">
        <v>95.9</v>
      </c>
      <c r="U58" s="1">
        <v>140.5</v>
      </c>
      <c r="V58" s="1">
        <v>147.9</v>
      </c>
      <c r="W58" s="1">
        <v>196</v>
      </c>
      <c r="X58" s="1">
        <v>115</v>
      </c>
      <c r="Y58">
        <v>0.21299999999999999</v>
      </c>
      <c r="Z58">
        <v>1.59</v>
      </c>
      <c r="AA58" s="4">
        <v>0.20399999999999999</v>
      </c>
      <c r="AB58" s="4">
        <v>0.58399999999999996</v>
      </c>
      <c r="AC58" s="4">
        <v>0.19600000000000001</v>
      </c>
      <c r="AD58" s="12">
        <v>21741</v>
      </c>
      <c r="AE58" s="1">
        <v>-2932.2361000000001</v>
      </c>
      <c r="AF58" s="13">
        <f t="shared" si="9"/>
        <v>280</v>
      </c>
      <c r="AG58" s="4">
        <f t="shared" si="10"/>
        <v>5.0806364059379341</v>
      </c>
      <c r="AH58" s="5">
        <f t="shared" si="11"/>
        <v>0.63667442016475451</v>
      </c>
      <c r="AI58" s="4">
        <f t="shared" si="12"/>
        <v>1.140343051586274</v>
      </c>
      <c r="AJ58" s="4">
        <f t="shared" si="13"/>
        <v>1.0159683853520507</v>
      </c>
      <c r="AK58" s="14">
        <f t="shared" si="14"/>
        <v>21988.921982845372</v>
      </c>
      <c r="AL58" s="14">
        <f t="shared" si="15"/>
        <v>-2962.0266917598801</v>
      </c>
      <c r="AM58" s="15">
        <f t="shared" si="16"/>
        <v>1.0114034305158628</v>
      </c>
      <c r="AN58" s="15">
        <f t="shared" si="17"/>
        <v>1.0101596838535205</v>
      </c>
    </row>
    <row r="59" spans="1:40" x14ac:dyDescent="0.2">
      <c r="A59">
        <v>158763</v>
      </c>
      <c r="B59">
        <v>1991</v>
      </c>
      <c r="C59">
        <v>219</v>
      </c>
      <c r="D59" t="s">
        <v>43</v>
      </c>
      <c r="E59" t="s">
        <v>42</v>
      </c>
      <c r="F59">
        <v>3413</v>
      </c>
      <c r="G59" s="1">
        <v>875.3</v>
      </c>
      <c r="H59">
        <v>504</v>
      </c>
      <c r="I59" s="2">
        <v>43384</v>
      </c>
      <c r="J59">
        <v>1847</v>
      </c>
      <c r="K59">
        <v>0</v>
      </c>
      <c r="L59" s="1">
        <v>81.3</v>
      </c>
      <c r="M59" s="1">
        <v>876.2</v>
      </c>
      <c r="N59" s="1">
        <v>110.7</v>
      </c>
      <c r="O59" s="3">
        <v>1.0699E-2</v>
      </c>
      <c r="P59" s="4">
        <v>0.94699999999999995</v>
      </c>
      <c r="Q59" s="4">
        <v>0.17799999999999999</v>
      </c>
      <c r="R59" s="1">
        <v>230</v>
      </c>
      <c r="S59" s="1">
        <v>800</v>
      </c>
      <c r="T59" s="1">
        <v>322.10000000000002</v>
      </c>
      <c r="U59" s="1">
        <v>477.9</v>
      </c>
      <c r="V59" s="1">
        <v>167</v>
      </c>
      <c r="W59" s="1">
        <v>201</v>
      </c>
      <c r="X59" s="1">
        <v>143.80000000000001</v>
      </c>
      <c r="Y59">
        <v>0.24199999999999999</v>
      </c>
      <c r="Z59">
        <v>1.571</v>
      </c>
      <c r="AA59" s="4">
        <v>0.224</v>
      </c>
      <c r="AB59" s="4">
        <v>0.60699999999999998</v>
      </c>
      <c r="AC59" s="4">
        <v>0.25800000000000001</v>
      </c>
      <c r="AD59" s="12">
        <v>36635.699999999997</v>
      </c>
      <c r="AE59" s="1">
        <v>-8671.4199000000008</v>
      </c>
      <c r="AF59" s="13">
        <f t="shared" si="9"/>
        <v>280</v>
      </c>
      <c r="AG59" s="4">
        <f t="shared" si="10"/>
        <v>5.0806364059379341</v>
      </c>
      <c r="AH59" s="5">
        <f t="shared" si="11"/>
        <v>0.63667442016475451</v>
      </c>
      <c r="AI59" s="4">
        <f t="shared" si="12"/>
        <v>1.140343051586274</v>
      </c>
      <c r="AJ59" s="4">
        <f t="shared" si="13"/>
        <v>1.0159683853520507</v>
      </c>
      <c r="AK59" s="14">
        <f t="shared" si="14"/>
        <v>37053.472659349995</v>
      </c>
      <c r="AL59" s="14">
        <f t="shared" si="15"/>
        <v>-8759.518784745127</v>
      </c>
      <c r="AM59" s="15">
        <f t="shared" si="16"/>
        <v>1.0114034305158628</v>
      </c>
      <c r="AN59" s="15">
        <f t="shared" si="17"/>
        <v>1.0101596838535205</v>
      </c>
    </row>
    <row r="60" spans="1:40" x14ac:dyDescent="0.2">
      <c r="A60">
        <v>158764</v>
      </c>
      <c r="B60">
        <v>1984</v>
      </c>
      <c r="C60">
        <v>220</v>
      </c>
      <c r="D60" t="s">
        <v>40</v>
      </c>
      <c r="E60" t="s">
        <v>41</v>
      </c>
      <c r="F60">
        <v>3413</v>
      </c>
      <c r="G60" s="1">
        <v>329.7</v>
      </c>
      <c r="H60">
        <v>336</v>
      </c>
      <c r="I60" s="2">
        <v>43385</v>
      </c>
      <c r="J60">
        <v>1852</v>
      </c>
      <c r="K60">
        <v>0</v>
      </c>
      <c r="L60" s="1">
        <v>63.1</v>
      </c>
      <c r="M60" s="1">
        <v>951.5</v>
      </c>
      <c r="N60" s="1">
        <v>72.400000000000006</v>
      </c>
      <c r="O60" s="3">
        <v>1.8929999999999999E-3</v>
      </c>
      <c r="P60" s="4">
        <v>1.125</v>
      </c>
      <c r="Q60" s="4">
        <v>0.11700000000000001</v>
      </c>
      <c r="R60" s="1">
        <v>314</v>
      </c>
      <c r="S60" s="1">
        <v>270.7</v>
      </c>
      <c r="T60" s="1">
        <v>109.8</v>
      </c>
      <c r="U60" s="1">
        <v>160.9</v>
      </c>
      <c r="V60" s="1">
        <v>169.7</v>
      </c>
      <c r="W60" s="1">
        <v>201.4</v>
      </c>
      <c r="X60" s="1">
        <v>147.9</v>
      </c>
      <c r="Y60">
        <v>0.24399999999999999</v>
      </c>
      <c r="Z60">
        <v>1.4319999999999999</v>
      </c>
      <c r="AA60" s="4">
        <v>0.23499999999999999</v>
      </c>
      <c r="AB60" s="4">
        <v>0.63400000000000001</v>
      </c>
      <c r="AC60" s="4">
        <v>0.27700000000000002</v>
      </c>
      <c r="AD60" s="12">
        <v>35465.5</v>
      </c>
      <c r="AE60" s="1">
        <v>-4887.4301999999998</v>
      </c>
      <c r="AF60" s="13">
        <f t="shared" si="9"/>
        <v>281</v>
      </c>
      <c r="AG60" s="4">
        <f t="shared" si="10"/>
        <v>5.180836504056642</v>
      </c>
      <c r="AH60" s="5">
        <f t="shared" si="11"/>
        <v>0.64923088637745574</v>
      </c>
      <c r="AI60" s="4">
        <f t="shared" si="12"/>
        <v>1.1643405931180022</v>
      </c>
      <c r="AJ60" s="4">
        <f t="shared" si="13"/>
        <v>1.0384551328690665</v>
      </c>
      <c r="AK60" s="14">
        <f t="shared" si="14"/>
        <v>35878.439213052268</v>
      </c>
      <c r="AL60" s="14">
        <f t="shared" si="15"/>
        <v>-4938.183969777293</v>
      </c>
      <c r="AM60" s="15">
        <f t="shared" si="16"/>
        <v>1.0116434059311801</v>
      </c>
      <c r="AN60" s="15">
        <f t="shared" si="17"/>
        <v>1.0103845513286906</v>
      </c>
    </row>
    <row r="61" spans="1:40" x14ac:dyDescent="0.2">
      <c r="A61">
        <v>158764</v>
      </c>
      <c r="B61">
        <v>1984</v>
      </c>
      <c r="C61">
        <v>220</v>
      </c>
      <c r="D61" t="s">
        <v>40</v>
      </c>
      <c r="E61" t="s">
        <v>42</v>
      </c>
      <c r="F61">
        <v>3413</v>
      </c>
      <c r="G61" s="1">
        <v>921.3</v>
      </c>
      <c r="H61">
        <v>504</v>
      </c>
      <c r="I61" s="2">
        <v>43385</v>
      </c>
      <c r="J61">
        <v>1854</v>
      </c>
      <c r="K61">
        <v>0</v>
      </c>
      <c r="L61" s="1">
        <v>103.2</v>
      </c>
      <c r="M61" s="1">
        <v>913</v>
      </c>
      <c r="N61" s="1">
        <v>112.6</v>
      </c>
      <c r="O61" s="3">
        <v>1.4201E-2</v>
      </c>
      <c r="P61" s="4">
        <v>1.208</v>
      </c>
      <c r="Q61" s="4">
        <v>0.25600000000000001</v>
      </c>
      <c r="R61" s="1">
        <v>266.2</v>
      </c>
      <c r="S61" s="1">
        <v>824.3</v>
      </c>
      <c r="T61" s="1">
        <v>332</v>
      </c>
      <c r="U61" s="1">
        <v>492.3</v>
      </c>
      <c r="V61" s="1">
        <v>187.6</v>
      </c>
      <c r="W61" s="1">
        <v>216.6</v>
      </c>
      <c r="X61" s="1">
        <v>167.8</v>
      </c>
      <c r="Y61">
        <v>0.27300000000000002</v>
      </c>
      <c r="Z61">
        <v>1.274</v>
      </c>
      <c r="AA61" s="4">
        <v>0.27500000000000002</v>
      </c>
      <c r="AB61" s="4">
        <v>0.72099999999999997</v>
      </c>
      <c r="AC61" s="4">
        <v>0.33400000000000002</v>
      </c>
      <c r="AD61" s="12">
        <v>47557.3</v>
      </c>
      <c r="AE61" s="1">
        <v>-10964.768</v>
      </c>
      <c r="AF61" s="13">
        <f t="shared" si="9"/>
        <v>281</v>
      </c>
      <c r="AG61" s="4">
        <f t="shared" si="10"/>
        <v>5.180836504056642</v>
      </c>
      <c r="AH61" s="5">
        <f t="shared" si="11"/>
        <v>0.64923088637745574</v>
      </c>
      <c r="AI61" s="4">
        <f t="shared" si="12"/>
        <v>1.1643405931180022</v>
      </c>
      <c r="AJ61" s="4">
        <f t="shared" si="13"/>
        <v>1.0384551328690665</v>
      </c>
      <c r="AK61" s="14">
        <f t="shared" si="14"/>
        <v>48111.028948890911</v>
      </c>
      <c r="AL61" s="14">
        <f t="shared" si="15"/>
        <v>-11078.632196103184</v>
      </c>
      <c r="AM61" s="15">
        <f t="shared" si="16"/>
        <v>1.0116434059311801</v>
      </c>
      <c r="AN61" s="15">
        <f t="shared" si="17"/>
        <v>1.0103845513286906</v>
      </c>
    </row>
    <row r="62" spans="1:40" x14ac:dyDescent="0.2">
      <c r="A62">
        <v>158809</v>
      </c>
      <c r="B62">
        <v>1996</v>
      </c>
      <c r="C62">
        <v>221</v>
      </c>
      <c r="D62" t="s">
        <v>40</v>
      </c>
      <c r="E62" t="s">
        <v>41</v>
      </c>
      <c r="F62">
        <v>3413</v>
      </c>
      <c r="G62" s="1">
        <v>341.8</v>
      </c>
      <c r="H62">
        <v>336</v>
      </c>
      <c r="I62" s="2">
        <v>43388</v>
      </c>
      <c r="J62">
        <v>1857</v>
      </c>
      <c r="K62">
        <v>0</v>
      </c>
      <c r="L62" s="1">
        <v>83.1</v>
      </c>
      <c r="M62" s="1">
        <v>920.2</v>
      </c>
      <c r="N62" s="1">
        <v>72.2</v>
      </c>
      <c r="O62" s="3">
        <v>3.6519999999999999E-3</v>
      </c>
      <c r="P62" s="4">
        <v>1.5209999999999999</v>
      </c>
      <c r="Q62" s="4">
        <v>0.154</v>
      </c>
      <c r="R62" s="1">
        <v>367.5</v>
      </c>
      <c r="S62" s="1">
        <v>262.8</v>
      </c>
      <c r="T62" s="1">
        <v>106.5</v>
      </c>
      <c r="U62" s="1">
        <v>156.19999999999999</v>
      </c>
      <c r="V62" s="1">
        <v>195.8</v>
      </c>
      <c r="W62" s="1">
        <v>246.2</v>
      </c>
      <c r="X62" s="1">
        <v>161.5</v>
      </c>
      <c r="Y62">
        <v>0.28199999999999997</v>
      </c>
      <c r="Z62">
        <v>1.5129999999999999</v>
      </c>
      <c r="AA62" s="4">
        <v>0.255</v>
      </c>
      <c r="AB62" s="4">
        <v>0.60099999999999998</v>
      </c>
      <c r="AC62" s="4">
        <v>0.26300000000000001</v>
      </c>
      <c r="AD62" s="12">
        <v>44533.9</v>
      </c>
      <c r="AE62" s="1">
        <v>-6296.2446</v>
      </c>
      <c r="AF62" s="13">
        <f t="shared" si="9"/>
        <v>284</v>
      </c>
      <c r="AG62" s="4">
        <f t="shared" si="10"/>
        <v>5.4934503134099808</v>
      </c>
      <c r="AH62" s="5">
        <f t="shared" si="11"/>
        <v>0.68840574556889766</v>
      </c>
      <c r="AI62" s="4">
        <f t="shared" si="12"/>
        <v>1.2392104087589102</v>
      </c>
      <c r="AJ62" s="4">
        <f t="shared" si="13"/>
        <v>1.1086114294520604</v>
      </c>
      <c r="AK62" s="14">
        <f t="shared" si="14"/>
        <v>45085.768724226291</v>
      </c>
      <c r="AL62" s="14">
        <f t="shared" si="15"/>
        <v>-6366.0454872618584</v>
      </c>
      <c r="AM62" s="15">
        <f t="shared" si="16"/>
        <v>1.0123921040875892</v>
      </c>
      <c r="AN62" s="15">
        <f t="shared" si="17"/>
        <v>1.0110861142945207</v>
      </c>
    </row>
    <row r="63" spans="1:40" x14ac:dyDescent="0.2">
      <c r="A63">
        <v>158809</v>
      </c>
      <c r="B63">
        <v>1996</v>
      </c>
      <c r="C63">
        <v>221</v>
      </c>
      <c r="D63" t="s">
        <v>40</v>
      </c>
      <c r="E63" t="s">
        <v>42</v>
      </c>
      <c r="F63">
        <v>3413</v>
      </c>
      <c r="G63" s="1">
        <v>1009.9</v>
      </c>
      <c r="H63">
        <v>504</v>
      </c>
      <c r="I63" s="2">
        <v>43388</v>
      </c>
      <c r="J63">
        <v>1859</v>
      </c>
      <c r="K63">
        <v>0</v>
      </c>
      <c r="L63" s="1">
        <v>128.19999999999999</v>
      </c>
      <c r="M63" s="1">
        <v>858.1</v>
      </c>
      <c r="N63" s="1">
        <v>119.7</v>
      </c>
      <c r="O63" s="3">
        <v>1.5254E-2</v>
      </c>
      <c r="P63" s="4">
        <v>1.4570000000000001</v>
      </c>
      <c r="Q63" s="4">
        <v>0.188</v>
      </c>
      <c r="R63" s="1">
        <v>318.7</v>
      </c>
      <c r="S63" s="1">
        <v>888.1</v>
      </c>
      <c r="T63" s="1">
        <v>357.5</v>
      </c>
      <c r="U63" s="1">
        <v>530.6</v>
      </c>
      <c r="V63" s="1">
        <v>242.5</v>
      </c>
      <c r="W63" s="1">
        <v>249.5</v>
      </c>
      <c r="X63" s="1">
        <v>237.8</v>
      </c>
      <c r="Y63">
        <v>0.34699999999999998</v>
      </c>
      <c r="Z63">
        <v>1.645</v>
      </c>
      <c r="AA63" s="4">
        <v>0.28699999999999998</v>
      </c>
      <c r="AB63" s="4">
        <v>0.55500000000000005</v>
      </c>
      <c r="AC63" s="4">
        <v>0.22900000000000001</v>
      </c>
      <c r="AD63" s="12">
        <v>66674.5</v>
      </c>
      <c r="AE63" s="1">
        <v>-16301.455</v>
      </c>
      <c r="AF63" s="13">
        <f t="shared" si="9"/>
        <v>284</v>
      </c>
      <c r="AG63" s="4">
        <f t="shared" si="10"/>
        <v>5.4934503134099808</v>
      </c>
      <c r="AH63" s="5">
        <f t="shared" si="11"/>
        <v>0.68840574556889766</v>
      </c>
      <c r="AI63" s="4">
        <f t="shared" si="12"/>
        <v>1.2392104087589102</v>
      </c>
      <c r="AJ63" s="4">
        <f t="shared" si="13"/>
        <v>1.1086114294520604</v>
      </c>
      <c r="AK63" s="14">
        <f t="shared" si="14"/>
        <v>67500.737343987959</v>
      </c>
      <c r="AL63" s="14">
        <f t="shared" si="15"/>
        <v>-16482.174793296985</v>
      </c>
      <c r="AM63" s="15">
        <f t="shared" si="16"/>
        <v>1.0123921040875892</v>
      </c>
      <c r="AN63" s="15">
        <f t="shared" si="17"/>
        <v>1.0110861142945207</v>
      </c>
    </row>
    <row r="64" spans="1:40" x14ac:dyDescent="0.2">
      <c r="A64">
        <v>158810</v>
      </c>
      <c r="B64">
        <v>1980</v>
      </c>
      <c r="C64">
        <v>222</v>
      </c>
      <c r="D64" t="s">
        <v>43</v>
      </c>
      <c r="E64" t="s">
        <v>41</v>
      </c>
      <c r="F64">
        <v>3413</v>
      </c>
      <c r="G64" s="1">
        <v>274.8</v>
      </c>
      <c r="H64">
        <v>336</v>
      </c>
      <c r="I64" s="2">
        <v>43389</v>
      </c>
      <c r="J64">
        <v>1862</v>
      </c>
      <c r="K64">
        <v>0</v>
      </c>
      <c r="L64" s="1">
        <v>51</v>
      </c>
      <c r="M64" s="1">
        <v>946.1</v>
      </c>
      <c r="N64" s="1">
        <v>65.3</v>
      </c>
      <c r="O64" s="3">
        <v>3.5439999999999998E-3</v>
      </c>
      <c r="P64" s="4">
        <v>0.98199999999999998</v>
      </c>
      <c r="Q64" s="4">
        <v>0.157</v>
      </c>
      <c r="R64" s="1">
        <v>271.60000000000002</v>
      </c>
      <c r="S64" s="1">
        <v>227.4</v>
      </c>
      <c r="T64" s="1">
        <v>92.2</v>
      </c>
      <c r="U64" s="1">
        <v>135.1</v>
      </c>
      <c r="V64" s="1">
        <v>125.5</v>
      </c>
      <c r="W64" s="1">
        <v>179</v>
      </c>
      <c r="X64" s="1">
        <v>88.8</v>
      </c>
      <c r="Y64">
        <v>0.18099999999999999</v>
      </c>
      <c r="Z64">
        <v>1.3480000000000001</v>
      </c>
      <c r="AA64" s="4">
        <v>0.20799999999999999</v>
      </c>
      <c r="AB64" s="4">
        <v>0.71599999999999997</v>
      </c>
      <c r="AC64" s="4">
        <v>0.28699999999999998</v>
      </c>
      <c r="AD64" s="12">
        <v>24191.5</v>
      </c>
      <c r="AE64" s="1">
        <v>-3082.8328000000001</v>
      </c>
      <c r="AF64" s="13">
        <f t="shared" si="9"/>
        <v>285</v>
      </c>
      <c r="AG64" s="4">
        <f t="shared" si="10"/>
        <v>5.60179191009866</v>
      </c>
      <c r="AH64" s="5">
        <f t="shared" si="11"/>
        <v>0.70198245481163557</v>
      </c>
      <c r="AI64" s="4">
        <f t="shared" si="12"/>
        <v>1.2651578081623536</v>
      </c>
      <c r="AJ64" s="4">
        <f t="shared" si="13"/>
        <v>1.1329252791994175</v>
      </c>
      <c r="AK64" s="14">
        <f t="shared" si="14"/>
        <v>24497.560651161592</v>
      </c>
      <c r="AL64" s="14">
        <f t="shared" si="15"/>
        <v>-3117.7589921066515</v>
      </c>
      <c r="AM64" s="15">
        <f t="shared" si="16"/>
        <v>1.0126515780816234</v>
      </c>
      <c r="AN64" s="15">
        <f t="shared" si="17"/>
        <v>1.0113292527919941</v>
      </c>
    </row>
    <row r="65" spans="1:40" x14ac:dyDescent="0.2">
      <c r="A65">
        <v>158810</v>
      </c>
      <c r="B65">
        <v>1980</v>
      </c>
      <c r="C65">
        <v>222</v>
      </c>
      <c r="D65" t="s">
        <v>43</v>
      </c>
      <c r="E65" t="s">
        <v>42</v>
      </c>
      <c r="F65">
        <v>3413</v>
      </c>
      <c r="G65" s="1">
        <v>769.5</v>
      </c>
      <c r="H65">
        <v>504</v>
      </c>
      <c r="I65" s="2">
        <v>43389</v>
      </c>
      <c r="J65">
        <v>1864</v>
      </c>
      <c r="K65">
        <v>0</v>
      </c>
      <c r="L65" s="1">
        <v>86</v>
      </c>
      <c r="M65" s="1">
        <v>882.7</v>
      </c>
      <c r="N65" s="1">
        <v>104.2</v>
      </c>
      <c r="O65" s="3">
        <v>1.4933999999999999E-2</v>
      </c>
      <c r="P65" s="4">
        <v>1.077</v>
      </c>
      <c r="Q65" s="4">
        <v>0.20300000000000001</v>
      </c>
      <c r="R65" s="1">
        <v>236.8</v>
      </c>
      <c r="S65" s="1">
        <v>689.2</v>
      </c>
      <c r="T65" s="1">
        <v>277.89999999999998</v>
      </c>
      <c r="U65" s="1">
        <v>411.3</v>
      </c>
      <c r="V65" s="1">
        <v>159</v>
      </c>
      <c r="W65" s="1">
        <v>189.9</v>
      </c>
      <c r="X65" s="1">
        <v>138</v>
      </c>
      <c r="Y65">
        <v>0.23200000000000001</v>
      </c>
      <c r="Z65">
        <v>1.409</v>
      </c>
      <c r="AA65" s="4">
        <v>0.23499999999999999</v>
      </c>
      <c r="AB65" s="4">
        <v>0.67600000000000005</v>
      </c>
      <c r="AC65" s="4">
        <v>0.28100000000000003</v>
      </c>
      <c r="AD65" s="12">
        <v>33910.300000000003</v>
      </c>
      <c r="AE65" s="1">
        <v>-7725.6196</v>
      </c>
      <c r="AF65" s="13">
        <f t="shared" si="9"/>
        <v>285</v>
      </c>
      <c r="AG65" s="4">
        <f t="shared" si="10"/>
        <v>5.60179191009866</v>
      </c>
      <c r="AH65" s="5">
        <f t="shared" si="11"/>
        <v>0.70198245481163557</v>
      </c>
      <c r="AI65" s="4">
        <f t="shared" si="12"/>
        <v>1.2651578081623536</v>
      </c>
      <c r="AJ65" s="4">
        <f t="shared" si="13"/>
        <v>1.1329252791994175</v>
      </c>
      <c r="AK65" s="14">
        <f t="shared" si="14"/>
        <v>34339.31880822128</v>
      </c>
      <c r="AL65" s="14">
        <f t="shared" si="15"/>
        <v>-7813.1450974231848</v>
      </c>
      <c r="AM65" s="15">
        <f t="shared" si="16"/>
        <v>1.0126515780816234</v>
      </c>
      <c r="AN65" s="15">
        <f t="shared" si="17"/>
        <v>1.0113292527919941</v>
      </c>
    </row>
    <row r="66" spans="1:40" x14ac:dyDescent="0.2">
      <c r="A66">
        <v>158811</v>
      </c>
      <c r="B66">
        <v>1985</v>
      </c>
      <c r="C66">
        <v>223</v>
      </c>
      <c r="D66" t="s">
        <v>40</v>
      </c>
      <c r="E66" t="s">
        <v>41</v>
      </c>
      <c r="F66">
        <v>3413</v>
      </c>
      <c r="G66" s="1">
        <v>337.3</v>
      </c>
      <c r="H66">
        <v>336</v>
      </c>
      <c r="I66" s="2">
        <v>43390</v>
      </c>
      <c r="J66">
        <v>1871</v>
      </c>
      <c r="K66">
        <v>0</v>
      </c>
      <c r="L66" s="1">
        <v>66.3</v>
      </c>
      <c r="M66" s="1">
        <v>919.2</v>
      </c>
      <c r="N66" s="1">
        <v>75</v>
      </c>
      <c r="O66" s="3">
        <v>3.3310000000000002E-3</v>
      </c>
      <c r="P66" s="4">
        <v>1.1739999999999999</v>
      </c>
      <c r="Q66" s="4">
        <v>0.14899999999999999</v>
      </c>
      <c r="R66" s="1">
        <v>312.7</v>
      </c>
      <c r="S66" s="1">
        <v>275.3</v>
      </c>
      <c r="T66" s="1">
        <v>111.7</v>
      </c>
      <c r="U66" s="1">
        <v>163.6</v>
      </c>
      <c r="V66" s="1">
        <v>170.9</v>
      </c>
      <c r="W66" s="1">
        <v>211.9</v>
      </c>
      <c r="X66" s="1">
        <v>142.69999999999999</v>
      </c>
      <c r="Y66">
        <v>0.24099999999999999</v>
      </c>
      <c r="Z66">
        <v>1.55</v>
      </c>
      <c r="AA66" s="4">
        <v>0.26300000000000001</v>
      </c>
      <c r="AB66" s="4">
        <v>0.59799999999999998</v>
      </c>
      <c r="AC66" s="4">
        <v>0.22700000000000001</v>
      </c>
      <c r="AD66" s="12">
        <v>34730.5</v>
      </c>
      <c r="AE66" s="1">
        <v>-4395.1684999999998</v>
      </c>
      <c r="AF66" s="13">
        <f t="shared" si="9"/>
        <v>286</v>
      </c>
      <c r="AG66" s="4">
        <f t="shared" si="10"/>
        <v>5.7122702152134401</v>
      </c>
      <c r="AH66" s="5">
        <f t="shared" si="11"/>
        <v>0.71582692334465847</v>
      </c>
      <c r="AI66" s="4">
        <f t="shared" si="12"/>
        <v>1.2916169410886111</v>
      </c>
      <c r="AJ66" s="4">
        <f t="shared" si="13"/>
        <v>1.1577186456717816</v>
      </c>
      <c r="AK66" s="14">
        <f t="shared" si="14"/>
        <v>35179.085021724779</v>
      </c>
      <c r="AL66" s="14">
        <f t="shared" si="15"/>
        <v>-4446.0521852331922</v>
      </c>
      <c r="AM66" s="15">
        <f t="shared" si="16"/>
        <v>1.0129161694108861</v>
      </c>
      <c r="AN66" s="15">
        <f t="shared" si="17"/>
        <v>1.0115771864567178</v>
      </c>
    </row>
    <row r="67" spans="1:40" x14ac:dyDescent="0.2">
      <c r="A67">
        <v>158811</v>
      </c>
      <c r="B67">
        <v>1985</v>
      </c>
      <c r="C67">
        <v>223</v>
      </c>
      <c r="D67" t="s">
        <v>40</v>
      </c>
      <c r="E67" t="s">
        <v>45</v>
      </c>
      <c r="F67">
        <v>3413</v>
      </c>
      <c r="G67" s="1">
        <v>987.7</v>
      </c>
      <c r="H67">
        <v>504</v>
      </c>
      <c r="I67" s="2">
        <v>43390</v>
      </c>
      <c r="J67">
        <v>1872</v>
      </c>
      <c r="K67">
        <v>0</v>
      </c>
      <c r="L67" s="1">
        <v>98.1</v>
      </c>
      <c r="M67" s="1">
        <v>820.4</v>
      </c>
      <c r="N67" s="1">
        <v>121.3</v>
      </c>
      <c r="O67" s="3">
        <v>2.1885999999999999E-2</v>
      </c>
      <c r="P67" s="4">
        <v>1.1060000000000001</v>
      </c>
      <c r="Q67" s="4">
        <v>0.216</v>
      </c>
      <c r="R67" s="1">
        <v>267.39999999999998</v>
      </c>
      <c r="S67" s="1">
        <v>896.3</v>
      </c>
      <c r="T67" s="1">
        <v>360.9</v>
      </c>
      <c r="U67" s="1">
        <v>535.29999999999995</v>
      </c>
      <c r="V67" s="1">
        <v>209</v>
      </c>
      <c r="W67" s="1">
        <v>237.2</v>
      </c>
      <c r="X67" s="1">
        <v>189.9</v>
      </c>
      <c r="Y67">
        <v>0.30099999999999999</v>
      </c>
      <c r="Z67">
        <v>1.454</v>
      </c>
      <c r="AA67" s="4">
        <v>0.27900000000000003</v>
      </c>
      <c r="AB67" s="4">
        <v>0.64200000000000002</v>
      </c>
      <c r="AC67" s="4">
        <v>0.28699999999999998</v>
      </c>
      <c r="AD67" s="12">
        <v>47757.2</v>
      </c>
      <c r="AE67" s="1">
        <v>-11495.803</v>
      </c>
      <c r="AF67" s="13">
        <f t="shared" ref="AF67:AF98" si="18">I67-$AF$2</f>
        <v>286</v>
      </c>
      <c r="AG67" s="4">
        <f t="shared" ref="AG67:AG98" si="19">0.02143*EXP(0.01953*AF67)</f>
        <v>5.7122702152134401</v>
      </c>
      <c r="AH67" s="5">
        <f t="shared" ref="AH67:AH98" si="20">AG67/797.996*100</f>
        <v>0.71582692334465847</v>
      </c>
      <c r="AI67" s="4">
        <f t="shared" ref="AI67:AI98" si="21">AH67*1.91117-0.07645</f>
        <v>1.2916169410886111</v>
      </c>
      <c r="AJ67" s="4">
        <f t="shared" ref="AJ67:AJ98" si="22">AH67*1.79085-0.12422</f>
        <v>1.1577186456717816</v>
      </c>
      <c r="AK67" s="14">
        <f t="shared" ref="AK67:AK98" si="23">AD67*(1+AI67/100)</f>
        <v>48374.040085789566</v>
      </c>
      <c r="AL67" s="14">
        <f t="shared" ref="AL67:AL98" si="24">AE67*(1+AJ67/100)</f>
        <v>-11628.892054800695</v>
      </c>
      <c r="AM67" s="15">
        <f t="shared" ref="AM67:AM98" si="25">AK67/AD67</f>
        <v>1.0129161694108861</v>
      </c>
      <c r="AN67" s="15">
        <f t="shared" ref="AN67:AN98" si="26">AL67/AE67</f>
        <v>1.0115771864567178</v>
      </c>
    </row>
    <row r="68" spans="1:40" x14ac:dyDescent="0.2">
      <c r="A68">
        <v>158812</v>
      </c>
      <c r="B68">
        <v>1993</v>
      </c>
      <c r="C68">
        <v>225</v>
      </c>
      <c r="D68" t="s">
        <v>40</v>
      </c>
      <c r="E68" t="s">
        <v>41</v>
      </c>
      <c r="F68">
        <v>3413</v>
      </c>
      <c r="G68">
        <v>295.5</v>
      </c>
      <c r="H68">
        <v>336</v>
      </c>
      <c r="I68" s="2">
        <v>43391</v>
      </c>
      <c r="J68">
        <v>1881</v>
      </c>
      <c r="K68">
        <v>0</v>
      </c>
      <c r="L68">
        <v>62</v>
      </c>
      <c r="M68">
        <v>894.7</v>
      </c>
      <c r="N68">
        <v>69.099999999999994</v>
      </c>
      <c r="O68">
        <v>3.4940000000000001E-3</v>
      </c>
      <c r="P68">
        <v>1.224</v>
      </c>
      <c r="Q68">
        <v>0.159</v>
      </c>
      <c r="R68">
        <v>369.7</v>
      </c>
      <c r="S68">
        <v>237.4</v>
      </c>
      <c r="T68">
        <v>96.3</v>
      </c>
      <c r="U68">
        <v>141.1</v>
      </c>
      <c r="V68">
        <v>235.8</v>
      </c>
      <c r="W68">
        <v>268.5</v>
      </c>
      <c r="X68">
        <v>213.5</v>
      </c>
      <c r="Y68">
        <v>0.34499999999999997</v>
      </c>
      <c r="Z68">
        <v>1.81</v>
      </c>
      <c r="AA68">
        <v>0.24199999999999999</v>
      </c>
      <c r="AB68">
        <v>0.47099999999999997</v>
      </c>
      <c r="AC68">
        <v>0.187</v>
      </c>
      <c r="AD68" s="12">
        <v>41592.1</v>
      </c>
      <c r="AE68" s="1">
        <v>-6087.6597000000002</v>
      </c>
      <c r="AF68" s="13">
        <f t="shared" si="18"/>
        <v>287</v>
      </c>
      <c r="AG68" s="4">
        <f t="shared" si="19"/>
        <v>5.8249273688282965</v>
      </c>
      <c r="AH68" s="5">
        <f t="shared" si="20"/>
        <v>0.72994443190546021</v>
      </c>
      <c r="AI68" s="4">
        <f t="shared" si="21"/>
        <v>1.3185978999247585</v>
      </c>
      <c r="AJ68" s="4">
        <f t="shared" si="22"/>
        <v>1.1830009858778934</v>
      </c>
      <c r="AK68" s="14">
        <f t="shared" si="23"/>
        <v>42140.532557134611</v>
      </c>
      <c r="AL68" s="14">
        <f t="shared" si="24"/>
        <v>-6159.6767742678912</v>
      </c>
      <c r="AM68" s="15">
        <f t="shared" si="25"/>
        <v>1.0131859789992477</v>
      </c>
      <c r="AN68" s="15">
        <f t="shared" si="26"/>
        <v>1.0118300098587789</v>
      </c>
    </row>
    <row r="69" spans="1:40" x14ac:dyDescent="0.2">
      <c r="A69">
        <v>158812</v>
      </c>
      <c r="B69">
        <v>1993</v>
      </c>
      <c r="C69">
        <v>225</v>
      </c>
      <c r="D69" t="s">
        <v>40</v>
      </c>
      <c r="E69" t="s">
        <v>42</v>
      </c>
      <c r="F69">
        <v>3413</v>
      </c>
      <c r="G69">
        <v>1005.1</v>
      </c>
      <c r="H69">
        <v>504</v>
      </c>
      <c r="I69" s="2">
        <v>43391</v>
      </c>
      <c r="J69">
        <v>1885</v>
      </c>
      <c r="K69">
        <v>0</v>
      </c>
      <c r="L69">
        <v>107.1</v>
      </c>
      <c r="M69">
        <v>822.4</v>
      </c>
      <c r="N69">
        <v>118.8</v>
      </c>
      <c r="O69">
        <v>2.9270999999999998E-2</v>
      </c>
      <c r="P69">
        <v>1.222</v>
      </c>
      <c r="Q69">
        <v>0.24</v>
      </c>
      <c r="R69">
        <v>308.60000000000002</v>
      </c>
      <c r="S69">
        <v>904.4</v>
      </c>
      <c r="T69">
        <v>364.1</v>
      </c>
      <c r="U69">
        <v>540.29999999999995</v>
      </c>
      <c r="V69">
        <v>249.3</v>
      </c>
      <c r="W69">
        <v>271.60000000000002</v>
      </c>
      <c r="X69">
        <v>234.3</v>
      </c>
      <c r="Y69">
        <v>0.36699999999999999</v>
      </c>
      <c r="Z69">
        <v>1.7809999999999999</v>
      </c>
      <c r="AA69">
        <v>0.255</v>
      </c>
      <c r="AB69">
        <v>0.496</v>
      </c>
      <c r="AC69">
        <v>0.21199999999999999</v>
      </c>
      <c r="AD69" s="12">
        <v>74774.899999999994</v>
      </c>
      <c r="AE69" s="1">
        <v>-20541.351999999999</v>
      </c>
      <c r="AF69" s="13">
        <f t="shared" si="18"/>
        <v>287</v>
      </c>
      <c r="AG69" s="4">
        <f t="shared" si="19"/>
        <v>5.8249273688282965</v>
      </c>
      <c r="AH69" s="5">
        <f t="shared" si="20"/>
        <v>0.72994443190546021</v>
      </c>
      <c r="AI69" s="4">
        <f t="shared" si="21"/>
        <v>1.3185978999247585</v>
      </c>
      <c r="AJ69" s="4">
        <f t="shared" si="22"/>
        <v>1.1830009858778934</v>
      </c>
      <c r="AK69" s="14">
        <f t="shared" si="23"/>
        <v>75760.880261070837</v>
      </c>
      <c r="AL69" s="14">
        <f t="shared" si="24"/>
        <v>-20784.356396672647</v>
      </c>
      <c r="AM69" s="15">
        <f t="shared" si="25"/>
        <v>1.0131859789992477</v>
      </c>
      <c r="AN69" s="15">
        <f t="shared" si="26"/>
        <v>1.0118300098587789</v>
      </c>
    </row>
    <row r="70" spans="1:40" x14ac:dyDescent="0.2">
      <c r="A70">
        <v>158814</v>
      </c>
      <c r="B70">
        <v>1987</v>
      </c>
      <c r="C70">
        <v>227</v>
      </c>
      <c r="D70" t="s">
        <v>40</v>
      </c>
      <c r="E70" t="s">
        <v>41</v>
      </c>
      <c r="F70">
        <v>3413</v>
      </c>
      <c r="G70" s="1">
        <v>370.2</v>
      </c>
      <c r="H70">
        <v>336</v>
      </c>
      <c r="I70" s="2">
        <v>43392</v>
      </c>
      <c r="J70">
        <v>1893</v>
      </c>
      <c r="K70">
        <v>0</v>
      </c>
      <c r="L70" s="1">
        <v>61.5</v>
      </c>
      <c r="M70" s="1">
        <v>855</v>
      </c>
      <c r="N70" s="1">
        <v>82.3</v>
      </c>
      <c r="O70" s="3">
        <v>8.5290000000000001E-3</v>
      </c>
      <c r="P70" s="4">
        <v>0.95799999999999996</v>
      </c>
      <c r="Q70" s="4">
        <v>0.18</v>
      </c>
      <c r="R70" s="1">
        <v>281.8</v>
      </c>
      <c r="S70" s="1">
        <v>313.2</v>
      </c>
      <c r="T70" s="1">
        <v>127</v>
      </c>
      <c r="U70" s="1">
        <v>186.3</v>
      </c>
      <c r="V70" s="1">
        <v>173.6</v>
      </c>
      <c r="W70" s="1">
        <v>210.4</v>
      </c>
      <c r="X70" s="1">
        <v>148.30000000000001</v>
      </c>
      <c r="Y70">
        <v>0.26300000000000001</v>
      </c>
      <c r="Z70">
        <v>1.3440000000000001</v>
      </c>
      <c r="AA70" s="4">
        <v>0.23100000000000001</v>
      </c>
      <c r="AB70" s="4">
        <v>0.67100000000000004</v>
      </c>
      <c r="AC70" s="4">
        <v>0.26900000000000002</v>
      </c>
      <c r="AD70" s="12">
        <v>33295</v>
      </c>
      <c r="AE70" s="1">
        <v>-5047.7681000000002</v>
      </c>
      <c r="AF70" s="13">
        <f t="shared" si="18"/>
        <v>288</v>
      </c>
      <c r="AG70" s="4">
        <f t="shared" si="19"/>
        <v>5.9398063421019591</v>
      </c>
      <c r="AH70" s="5">
        <f t="shared" si="20"/>
        <v>0.74434036537801684</v>
      </c>
      <c r="AI70" s="4">
        <f t="shared" si="21"/>
        <v>1.3461109760995045</v>
      </c>
      <c r="AJ70" s="4">
        <f t="shared" si="22"/>
        <v>1.2087819433372216</v>
      </c>
      <c r="AK70" s="14">
        <f t="shared" si="23"/>
        <v>33743.187649492334</v>
      </c>
      <c r="AL70" s="14">
        <f t="shared" si="24"/>
        <v>-5108.7846093343369</v>
      </c>
      <c r="AM70" s="15">
        <f t="shared" si="25"/>
        <v>1.0134611097609951</v>
      </c>
      <c r="AN70" s="15">
        <f t="shared" si="26"/>
        <v>1.0120878194333722</v>
      </c>
    </row>
    <row r="71" spans="1:40" x14ac:dyDescent="0.2">
      <c r="A71">
        <v>158814</v>
      </c>
      <c r="B71">
        <v>1987</v>
      </c>
      <c r="C71">
        <v>227</v>
      </c>
      <c r="D71" t="s">
        <v>40</v>
      </c>
      <c r="E71" t="s">
        <v>42</v>
      </c>
      <c r="F71">
        <v>3413</v>
      </c>
      <c r="G71" s="1">
        <v>1060</v>
      </c>
      <c r="H71">
        <v>501</v>
      </c>
      <c r="I71" s="2">
        <v>43392</v>
      </c>
      <c r="J71">
        <v>1895</v>
      </c>
      <c r="K71">
        <v>0</v>
      </c>
      <c r="L71" s="1">
        <v>114.9</v>
      </c>
      <c r="M71" s="1">
        <v>787</v>
      </c>
      <c r="N71" s="1">
        <v>122.4</v>
      </c>
      <c r="O71" s="3">
        <v>3.8307000000000001E-2</v>
      </c>
      <c r="P71" s="4">
        <v>1.34</v>
      </c>
      <c r="Q71" s="4">
        <v>0.22700000000000001</v>
      </c>
      <c r="R71" s="1">
        <v>308.8</v>
      </c>
      <c r="S71" s="1">
        <v>954.6</v>
      </c>
      <c r="T71" s="1">
        <v>384.2</v>
      </c>
      <c r="U71" s="1">
        <v>570.4</v>
      </c>
      <c r="V71" s="1">
        <v>253.2</v>
      </c>
      <c r="W71" s="1">
        <v>277.5</v>
      </c>
      <c r="X71" s="1">
        <v>237</v>
      </c>
      <c r="Y71">
        <v>0.36699999999999999</v>
      </c>
      <c r="Z71">
        <v>1.556</v>
      </c>
      <c r="AA71" s="4">
        <v>0.28499999999999998</v>
      </c>
      <c r="AB71" s="4">
        <v>0.59</v>
      </c>
      <c r="AC71" s="4">
        <v>0.27500000000000002</v>
      </c>
      <c r="AD71" s="12">
        <v>74498.7</v>
      </c>
      <c r="AE71" s="1">
        <v>-19281.754000000001</v>
      </c>
      <c r="AF71" s="13">
        <f t="shared" si="18"/>
        <v>288</v>
      </c>
      <c r="AG71" s="4">
        <f t="shared" si="19"/>
        <v>5.9398063421019591</v>
      </c>
      <c r="AH71" s="5">
        <f t="shared" si="20"/>
        <v>0.74434036537801684</v>
      </c>
      <c r="AI71" s="4">
        <f t="shared" si="21"/>
        <v>1.3461109760995045</v>
      </c>
      <c r="AJ71" s="4">
        <f t="shared" si="22"/>
        <v>1.2087819433372216</v>
      </c>
      <c r="AK71" s="14">
        <f t="shared" si="23"/>
        <v>75501.535177751444</v>
      </c>
      <c r="AL71" s="14">
        <f t="shared" si="24"/>
        <v>-19514.828360710704</v>
      </c>
      <c r="AM71" s="15">
        <f t="shared" si="25"/>
        <v>1.0134611097609951</v>
      </c>
      <c r="AN71" s="15">
        <f t="shared" si="26"/>
        <v>1.0120878194333722</v>
      </c>
    </row>
    <row r="72" spans="1:40" x14ac:dyDescent="0.2">
      <c r="A72">
        <v>158833</v>
      </c>
      <c r="B72">
        <v>1991</v>
      </c>
      <c r="C72">
        <v>229</v>
      </c>
      <c r="D72" t="s">
        <v>40</v>
      </c>
      <c r="E72" t="s">
        <v>41</v>
      </c>
      <c r="F72">
        <v>3413</v>
      </c>
      <c r="G72" s="1">
        <v>416.8</v>
      </c>
      <c r="H72">
        <v>336</v>
      </c>
      <c r="I72" s="2">
        <v>43395</v>
      </c>
      <c r="J72">
        <v>1906</v>
      </c>
      <c r="K72">
        <v>0</v>
      </c>
      <c r="L72" s="1">
        <v>75</v>
      </c>
      <c r="M72" s="1">
        <v>876.2</v>
      </c>
      <c r="N72" s="1">
        <v>81</v>
      </c>
      <c r="O72" s="3">
        <v>6.4949999999999999E-3</v>
      </c>
      <c r="P72" s="4">
        <v>1.1739999999999999</v>
      </c>
      <c r="Q72" s="4">
        <v>0.17599999999999999</v>
      </c>
      <c r="R72" s="1">
        <v>324.2</v>
      </c>
      <c r="S72" s="1">
        <v>346.3</v>
      </c>
      <c r="T72" s="1">
        <v>140.19999999999999</v>
      </c>
      <c r="U72" s="1">
        <v>206</v>
      </c>
      <c r="V72" s="1">
        <v>207.6</v>
      </c>
      <c r="W72" s="1">
        <v>252</v>
      </c>
      <c r="X72" s="1">
        <v>177.3</v>
      </c>
      <c r="Y72">
        <v>0.29899999999999999</v>
      </c>
      <c r="Z72">
        <v>1.746</v>
      </c>
      <c r="AA72" s="4">
        <v>0.23599999999999999</v>
      </c>
      <c r="AB72" s="4">
        <v>0.51</v>
      </c>
      <c r="AC72" s="4">
        <v>0.19700000000000001</v>
      </c>
      <c r="AD72" s="12">
        <v>46121.1</v>
      </c>
      <c r="AE72" s="1">
        <v>-6576.6084000000001</v>
      </c>
      <c r="AF72" s="13">
        <f t="shared" si="18"/>
        <v>291</v>
      </c>
      <c r="AG72" s="4">
        <f t="shared" si="19"/>
        <v>6.298216704206939</v>
      </c>
      <c r="AH72" s="5">
        <f t="shared" si="20"/>
        <v>0.78925416972101847</v>
      </c>
      <c r="AI72" s="4">
        <f t="shared" si="21"/>
        <v>1.431948891545719</v>
      </c>
      <c r="AJ72" s="4">
        <f t="shared" si="22"/>
        <v>1.2892158298448859</v>
      </c>
      <c r="AK72" s="14">
        <f t="shared" si="23"/>
        <v>46781.530580218692</v>
      </c>
      <c r="AL72" s="14">
        <f t="shared" si="24"/>
        <v>-6661.3950765597092</v>
      </c>
      <c r="AM72" s="15">
        <f t="shared" si="25"/>
        <v>1.0143194889154572</v>
      </c>
      <c r="AN72" s="15">
        <f t="shared" si="26"/>
        <v>1.0128921582984489</v>
      </c>
    </row>
    <row r="73" spans="1:40" x14ac:dyDescent="0.2">
      <c r="A73">
        <v>158833</v>
      </c>
      <c r="B73">
        <v>1991</v>
      </c>
      <c r="C73">
        <v>229</v>
      </c>
      <c r="D73" t="s">
        <v>40</v>
      </c>
      <c r="E73" t="s">
        <v>42</v>
      </c>
      <c r="F73">
        <v>3413</v>
      </c>
      <c r="G73" s="1">
        <v>1212.3</v>
      </c>
      <c r="H73">
        <v>504</v>
      </c>
      <c r="I73" s="2">
        <v>43395</v>
      </c>
      <c r="J73">
        <v>1908</v>
      </c>
      <c r="K73">
        <v>0</v>
      </c>
      <c r="L73" s="1">
        <v>139.19999999999999</v>
      </c>
      <c r="M73" s="1">
        <v>835.8</v>
      </c>
      <c r="N73" s="1">
        <v>133.4</v>
      </c>
      <c r="O73" s="3">
        <v>2.3564999999999999E-2</v>
      </c>
      <c r="P73" s="4">
        <v>1.397</v>
      </c>
      <c r="Q73" s="4">
        <v>0.20300000000000001</v>
      </c>
      <c r="R73" s="1">
        <v>289.7</v>
      </c>
      <c r="S73" s="1">
        <v>1080.3</v>
      </c>
      <c r="T73" s="1">
        <v>434.8</v>
      </c>
      <c r="U73" s="1">
        <v>645.5</v>
      </c>
      <c r="V73" s="1">
        <v>221.1</v>
      </c>
      <c r="W73" s="1">
        <v>249.7</v>
      </c>
      <c r="X73" s="1">
        <v>201.8</v>
      </c>
      <c r="Y73">
        <v>0.32200000000000001</v>
      </c>
      <c r="Z73">
        <v>1.8</v>
      </c>
      <c r="AA73" s="4">
        <v>0.254</v>
      </c>
      <c r="AB73" s="4">
        <v>0.51200000000000001</v>
      </c>
      <c r="AC73" s="4">
        <v>0.21099999999999999</v>
      </c>
      <c r="AD73" s="12">
        <v>69624.399999999994</v>
      </c>
      <c r="AE73" s="1">
        <v>-17466.563999999998</v>
      </c>
      <c r="AF73" s="13">
        <f t="shared" si="18"/>
        <v>291</v>
      </c>
      <c r="AG73" s="4">
        <f t="shared" si="19"/>
        <v>6.298216704206939</v>
      </c>
      <c r="AH73" s="5">
        <f t="shared" si="20"/>
        <v>0.78925416972101847</v>
      </c>
      <c r="AI73" s="4">
        <f t="shared" si="21"/>
        <v>1.431948891545719</v>
      </c>
      <c r="AJ73" s="4">
        <f t="shared" si="22"/>
        <v>1.2892158298448859</v>
      </c>
      <c r="AK73" s="14">
        <f t="shared" si="23"/>
        <v>70621.385824045356</v>
      </c>
      <c r="AL73" s="14">
        <f t="shared" si="24"/>
        <v>-17691.745708017988</v>
      </c>
      <c r="AM73" s="15">
        <f t="shared" si="25"/>
        <v>1.0143194889154572</v>
      </c>
      <c r="AN73" s="15">
        <f t="shared" si="26"/>
        <v>1.0128921582984489</v>
      </c>
    </row>
    <row r="74" spans="1:40" x14ac:dyDescent="0.2">
      <c r="A74">
        <v>158835</v>
      </c>
      <c r="B74">
        <v>1985</v>
      </c>
      <c r="C74">
        <v>231</v>
      </c>
      <c r="D74" t="s">
        <v>40</v>
      </c>
      <c r="E74" t="s">
        <v>41</v>
      </c>
      <c r="F74">
        <v>3413</v>
      </c>
      <c r="G74">
        <v>348.6</v>
      </c>
      <c r="H74">
        <v>336</v>
      </c>
      <c r="I74" s="2">
        <v>43396</v>
      </c>
      <c r="J74">
        <v>1917</v>
      </c>
      <c r="K74">
        <v>0</v>
      </c>
      <c r="L74">
        <v>58.5</v>
      </c>
      <c r="M74">
        <v>868.1</v>
      </c>
      <c r="N74">
        <v>76.3</v>
      </c>
      <c r="O74">
        <v>5.4349999999999997E-3</v>
      </c>
      <c r="P74">
        <v>0.93600000000000005</v>
      </c>
      <c r="Q74">
        <v>0.151</v>
      </c>
      <c r="R74">
        <v>303.89999999999998</v>
      </c>
      <c r="S74">
        <v>294.39999999999998</v>
      </c>
      <c r="T74">
        <v>119.3</v>
      </c>
      <c r="U74">
        <v>175.1</v>
      </c>
      <c r="V74">
        <v>195.4</v>
      </c>
      <c r="W74">
        <v>246.9</v>
      </c>
      <c r="X74">
        <v>160.4</v>
      </c>
      <c r="Y74">
        <v>0.28499999999999998</v>
      </c>
      <c r="Z74">
        <v>1.7609999999999999</v>
      </c>
      <c r="AA74">
        <v>0.23</v>
      </c>
      <c r="AB74">
        <v>0.52100000000000002</v>
      </c>
      <c r="AC74">
        <v>0.21</v>
      </c>
      <c r="AD74" s="12">
        <v>37216.199999999997</v>
      </c>
      <c r="AE74" s="1">
        <v>-5782.6812</v>
      </c>
      <c r="AF74" s="13">
        <f t="shared" si="18"/>
        <v>292</v>
      </c>
      <c r="AG74" s="4">
        <f t="shared" si="19"/>
        <v>6.4224298699034348</v>
      </c>
      <c r="AH74" s="5">
        <f t="shared" si="20"/>
        <v>0.80481980735535452</v>
      </c>
      <c r="AI74" s="4">
        <f t="shared" si="21"/>
        <v>1.461697471223333</v>
      </c>
      <c r="AJ74" s="4">
        <f t="shared" si="22"/>
        <v>1.3170915520023367</v>
      </c>
      <c r="AK74" s="14">
        <f t="shared" si="23"/>
        <v>37760.188254285415</v>
      </c>
      <c r="AL74" s="14">
        <f t="shared" si="24"/>
        <v>-5858.8444055644277</v>
      </c>
      <c r="AM74" s="15">
        <f t="shared" si="25"/>
        <v>1.0146169747122333</v>
      </c>
      <c r="AN74" s="15">
        <f t="shared" si="26"/>
        <v>1.0131709155200235</v>
      </c>
    </row>
    <row r="75" spans="1:40" x14ac:dyDescent="0.2">
      <c r="A75">
        <v>158835</v>
      </c>
      <c r="B75">
        <v>1985</v>
      </c>
      <c r="C75">
        <v>231</v>
      </c>
      <c r="D75" t="s">
        <v>40</v>
      </c>
      <c r="E75" t="s">
        <v>42</v>
      </c>
      <c r="F75">
        <v>3413</v>
      </c>
      <c r="G75">
        <v>1158.8</v>
      </c>
      <c r="H75">
        <v>504</v>
      </c>
      <c r="I75" s="2">
        <v>43396</v>
      </c>
      <c r="J75">
        <v>1918</v>
      </c>
      <c r="K75">
        <v>0</v>
      </c>
      <c r="L75">
        <v>93.8</v>
      </c>
      <c r="M75">
        <v>745.5</v>
      </c>
      <c r="N75">
        <v>129.4</v>
      </c>
      <c r="O75">
        <v>2.2334E-2</v>
      </c>
      <c r="P75">
        <v>0.94799999999999995</v>
      </c>
      <c r="Q75">
        <v>0.17799999999999999</v>
      </c>
      <c r="R75">
        <v>246.4</v>
      </c>
      <c r="S75">
        <v>1071.9000000000001</v>
      </c>
      <c r="T75">
        <v>431.3</v>
      </c>
      <c r="U75">
        <v>640.6</v>
      </c>
      <c r="V75">
        <v>204.3</v>
      </c>
      <c r="W75">
        <v>229.8</v>
      </c>
      <c r="X75">
        <v>187.2</v>
      </c>
      <c r="Y75">
        <v>0.29799999999999999</v>
      </c>
      <c r="Z75">
        <v>1.6970000000000001</v>
      </c>
      <c r="AA75">
        <v>0.247</v>
      </c>
      <c r="AB75">
        <v>0.55200000000000005</v>
      </c>
      <c r="AC75">
        <v>0.23899999999999999</v>
      </c>
      <c r="AD75" s="12">
        <v>54190.400000000001</v>
      </c>
      <c r="AE75" s="1">
        <v>-14114.447</v>
      </c>
      <c r="AF75" s="13">
        <f t="shared" si="18"/>
        <v>292</v>
      </c>
      <c r="AG75" s="4">
        <f t="shared" si="19"/>
        <v>6.4224298699034348</v>
      </c>
      <c r="AH75" s="5">
        <f t="shared" si="20"/>
        <v>0.80481980735535452</v>
      </c>
      <c r="AI75" s="4">
        <f t="shared" si="21"/>
        <v>1.461697471223333</v>
      </c>
      <c r="AJ75" s="4">
        <f t="shared" si="22"/>
        <v>1.3170915520023367</v>
      </c>
      <c r="AK75" s="14">
        <f t="shared" si="23"/>
        <v>54982.499706445808</v>
      </c>
      <c r="AL75" s="14">
        <f t="shared" si="24"/>
        <v>-14300.347189048849</v>
      </c>
      <c r="AM75" s="15">
        <f t="shared" si="25"/>
        <v>1.0146169747122333</v>
      </c>
      <c r="AN75" s="15">
        <f t="shared" si="26"/>
        <v>1.0131709155200235</v>
      </c>
    </row>
    <row r="76" spans="1:40" x14ac:dyDescent="0.2">
      <c r="A76">
        <v>158876</v>
      </c>
      <c r="B76">
        <v>1998</v>
      </c>
      <c r="C76">
        <v>238</v>
      </c>
      <c r="D76" t="s">
        <v>43</v>
      </c>
      <c r="E76" t="s">
        <v>41</v>
      </c>
      <c r="F76">
        <v>3413</v>
      </c>
      <c r="G76" s="1">
        <v>285.7</v>
      </c>
      <c r="H76">
        <v>336</v>
      </c>
      <c r="I76" s="2">
        <v>43403</v>
      </c>
      <c r="J76">
        <v>1954</v>
      </c>
      <c r="K76">
        <v>0</v>
      </c>
      <c r="L76" s="1">
        <v>54.9</v>
      </c>
      <c r="M76" s="1">
        <v>938.7</v>
      </c>
      <c r="N76" s="1">
        <v>65.7</v>
      </c>
      <c r="O76" s="3">
        <v>2.003E-3</v>
      </c>
      <c r="P76" s="4">
        <v>1.0660000000000001</v>
      </c>
      <c r="Q76" s="4">
        <v>0.14000000000000001</v>
      </c>
      <c r="R76" s="1">
        <v>295.60000000000002</v>
      </c>
      <c r="S76" s="1">
        <v>234.4</v>
      </c>
      <c r="T76" s="1">
        <v>95.1</v>
      </c>
      <c r="U76" s="1">
        <v>139.30000000000001</v>
      </c>
      <c r="V76" s="1">
        <v>149.69999999999999</v>
      </c>
      <c r="W76" s="1">
        <v>203.9</v>
      </c>
      <c r="X76" s="1">
        <v>112.5</v>
      </c>
      <c r="Y76">
        <v>0.22</v>
      </c>
      <c r="Z76">
        <v>1.49</v>
      </c>
      <c r="AA76" s="4">
        <v>0.215</v>
      </c>
      <c r="AB76" s="4">
        <v>0.61899999999999999</v>
      </c>
      <c r="AC76" s="4">
        <v>0.224</v>
      </c>
      <c r="AD76" s="12">
        <v>31236.7</v>
      </c>
      <c r="AE76" s="1">
        <v>-4519.5815000000002</v>
      </c>
      <c r="AF76" s="13">
        <f t="shared" si="18"/>
        <v>299</v>
      </c>
      <c r="AG76" s="4">
        <f t="shared" si="19"/>
        <v>7.3632876936161287</v>
      </c>
      <c r="AH76" s="5">
        <f t="shared" si="20"/>
        <v>0.92272238126709027</v>
      </c>
      <c r="AI76" s="4">
        <f t="shared" si="21"/>
        <v>1.687029333406225</v>
      </c>
      <c r="AJ76" s="4">
        <f t="shared" si="22"/>
        <v>1.5282373764921686</v>
      </c>
      <c r="AK76" s="14">
        <f t="shared" si="23"/>
        <v>31763.672291788105</v>
      </c>
      <c r="AL76" s="14">
        <f t="shared" si="24"/>
        <v>-4588.6514337440258</v>
      </c>
      <c r="AM76" s="15">
        <f t="shared" si="25"/>
        <v>1.0168702933340623</v>
      </c>
      <c r="AN76" s="15">
        <f t="shared" si="26"/>
        <v>1.0152823737649217</v>
      </c>
    </row>
    <row r="77" spans="1:40" x14ac:dyDescent="0.2">
      <c r="A77">
        <v>158876</v>
      </c>
      <c r="B77">
        <v>1998</v>
      </c>
      <c r="C77">
        <v>238</v>
      </c>
      <c r="D77" t="s">
        <v>43</v>
      </c>
      <c r="E77" t="s">
        <v>42</v>
      </c>
      <c r="F77">
        <v>3413</v>
      </c>
      <c r="G77" s="1">
        <v>894.4</v>
      </c>
      <c r="H77">
        <v>504</v>
      </c>
      <c r="I77" s="2">
        <v>43403</v>
      </c>
      <c r="J77">
        <v>1955</v>
      </c>
      <c r="K77">
        <v>0</v>
      </c>
      <c r="L77" s="1">
        <v>99.1</v>
      </c>
      <c r="M77" s="1">
        <v>893.2</v>
      </c>
      <c r="N77" s="1">
        <v>110.9</v>
      </c>
      <c r="O77" s="3">
        <v>1.1535E-2</v>
      </c>
      <c r="P77" s="4">
        <v>1.153</v>
      </c>
      <c r="Q77" s="4">
        <v>0.186</v>
      </c>
      <c r="R77" s="1">
        <v>301.2</v>
      </c>
      <c r="S77" s="1">
        <v>801.2</v>
      </c>
      <c r="T77" s="1">
        <v>322.60000000000002</v>
      </c>
      <c r="U77" s="1">
        <v>478.6</v>
      </c>
      <c r="V77" s="1">
        <v>230</v>
      </c>
      <c r="W77" s="1">
        <v>253.4</v>
      </c>
      <c r="X77" s="1">
        <v>214.3</v>
      </c>
      <c r="Y77">
        <v>0.33400000000000002</v>
      </c>
      <c r="Z77">
        <v>1.6910000000000001</v>
      </c>
      <c r="AA77" s="4">
        <v>0.26300000000000001</v>
      </c>
      <c r="AB77" s="4">
        <v>0.52800000000000002</v>
      </c>
      <c r="AC77" s="4">
        <v>0.22500000000000001</v>
      </c>
      <c r="AD77" s="12">
        <v>60813.7</v>
      </c>
      <c r="AE77" s="1">
        <v>-15830.398999999999</v>
      </c>
      <c r="AF77" s="13">
        <f t="shared" si="18"/>
        <v>299</v>
      </c>
      <c r="AG77" s="4">
        <f t="shared" si="19"/>
        <v>7.3632876936161287</v>
      </c>
      <c r="AH77" s="5">
        <f t="shared" si="20"/>
        <v>0.92272238126709027</v>
      </c>
      <c r="AI77" s="4">
        <f t="shared" si="21"/>
        <v>1.687029333406225</v>
      </c>
      <c r="AJ77" s="4">
        <f t="shared" si="22"/>
        <v>1.5282373764921686</v>
      </c>
      <c r="AK77" s="14">
        <f t="shared" si="23"/>
        <v>61839.644957729659</v>
      </c>
      <c r="AL77" s="14">
        <f t="shared" si="24"/>
        <v>-16072.325074365843</v>
      </c>
      <c r="AM77" s="15">
        <f t="shared" si="25"/>
        <v>1.0168702933340623</v>
      </c>
      <c r="AN77" s="15">
        <f t="shared" si="26"/>
        <v>1.0152823737649217</v>
      </c>
    </row>
    <row r="78" spans="1:40" x14ac:dyDescent="0.2">
      <c r="A78">
        <v>158879</v>
      </c>
      <c r="B78">
        <v>1995</v>
      </c>
      <c r="C78">
        <v>242</v>
      </c>
      <c r="D78" t="s">
        <v>40</v>
      </c>
      <c r="E78" t="s">
        <v>41</v>
      </c>
      <c r="F78">
        <v>3413</v>
      </c>
      <c r="G78" s="1">
        <v>411</v>
      </c>
      <c r="H78">
        <v>336</v>
      </c>
      <c r="I78" s="2">
        <v>43405</v>
      </c>
      <c r="J78">
        <v>1975</v>
      </c>
      <c r="K78">
        <v>0</v>
      </c>
      <c r="L78" s="1">
        <v>63.9</v>
      </c>
      <c r="M78" s="1">
        <v>871.2</v>
      </c>
      <c r="N78" s="1">
        <v>80.400000000000006</v>
      </c>
      <c r="O78" s="3">
        <v>7.5389999999999997E-3</v>
      </c>
      <c r="P78" s="4">
        <v>0.995</v>
      </c>
      <c r="Q78" s="4">
        <v>0.16900000000000001</v>
      </c>
      <c r="R78" s="1">
        <v>295.8</v>
      </c>
      <c r="S78" s="1">
        <v>351.5</v>
      </c>
      <c r="T78" s="1">
        <v>142.30000000000001</v>
      </c>
      <c r="U78" s="1">
        <v>209.2</v>
      </c>
      <c r="V78" s="1">
        <v>194.6</v>
      </c>
      <c r="W78" s="1">
        <v>237.6</v>
      </c>
      <c r="X78" s="1">
        <v>165.4</v>
      </c>
      <c r="Y78">
        <v>0.28299999999999997</v>
      </c>
      <c r="Z78">
        <v>1.7430000000000001</v>
      </c>
      <c r="AA78" s="4">
        <v>0.219</v>
      </c>
      <c r="AB78" s="4">
        <v>0.51200000000000001</v>
      </c>
      <c r="AC78" s="4">
        <v>0.18</v>
      </c>
      <c r="AD78" s="12">
        <v>39859</v>
      </c>
      <c r="AE78" s="1">
        <v>-5840.8525</v>
      </c>
      <c r="AF78" s="13">
        <f t="shared" si="18"/>
        <v>301</v>
      </c>
      <c r="AG78" s="4">
        <f t="shared" si="19"/>
        <v>7.6565885879801918</v>
      </c>
      <c r="AH78" s="5">
        <f t="shared" si="20"/>
        <v>0.95947706354169593</v>
      </c>
      <c r="AI78" s="4">
        <f t="shared" si="21"/>
        <v>1.7572737795289832</v>
      </c>
      <c r="AJ78" s="4">
        <f t="shared" si="22"/>
        <v>1.5940594992436463</v>
      </c>
      <c r="AK78" s="14">
        <f t="shared" si="23"/>
        <v>40559.431755782462</v>
      </c>
      <c r="AL78" s="14">
        <f t="shared" si="24"/>
        <v>-5933.9591641130601</v>
      </c>
      <c r="AM78" s="15">
        <f t="shared" si="25"/>
        <v>1.0175727377952899</v>
      </c>
      <c r="AN78" s="15">
        <f t="shared" si="26"/>
        <v>1.0159405949924365</v>
      </c>
    </row>
    <row r="79" spans="1:40" x14ac:dyDescent="0.2">
      <c r="A79">
        <v>158879</v>
      </c>
      <c r="B79">
        <v>1995</v>
      </c>
      <c r="C79">
        <v>242</v>
      </c>
      <c r="D79" t="s">
        <v>40</v>
      </c>
      <c r="E79" t="s">
        <v>42</v>
      </c>
      <c r="F79">
        <v>3413</v>
      </c>
      <c r="G79" s="1">
        <v>1219.8</v>
      </c>
      <c r="H79">
        <v>504</v>
      </c>
      <c r="I79" s="2">
        <v>43405</v>
      </c>
      <c r="J79">
        <v>1977</v>
      </c>
      <c r="K79">
        <v>0</v>
      </c>
      <c r="L79" s="1">
        <v>118.6</v>
      </c>
      <c r="M79" s="1">
        <v>798</v>
      </c>
      <c r="N79" s="1">
        <v>131.6</v>
      </c>
      <c r="O79" s="3">
        <v>2.6759000000000002E-2</v>
      </c>
      <c r="P79" s="4">
        <v>1.1759999999999999</v>
      </c>
      <c r="Q79" s="4">
        <v>0.19800000000000001</v>
      </c>
      <c r="R79" s="1">
        <v>283.89999999999998</v>
      </c>
      <c r="S79" s="1">
        <v>1108.3</v>
      </c>
      <c r="T79" s="1">
        <v>445.9</v>
      </c>
      <c r="U79" s="1">
        <v>662.5</v>
      </c>
      <c r="V79" s="1">
        <v>230.4</v>
      </c>
      <c r="W79" s="1">
        <v>257.8</v>
      </c>
      <c r="X79" s="1">
        <v>211.9</v>
      </c>
      <c r="Y79">
        <v>0.33500000000000002</v>
      </c>
      <c r="Z79">
        <v>1.976</v>
      </c>
      <c r="AA79" s="4">
        <v>0.24099999999999999</v>
      </c>
      <c r="AB79" s="4">
        <v>0.45800000000000002</v>
      </c>
      <c r="AC79" s="4">
        <v>0.17499999999999999</v>
      </c>
      <c r="AD79" s="12">
        <v>69299</v>
      </c>
      <c r="AE79" s="1">
        <v>-17236.506000000001</v>
      </c>
      <c r="AF79" s="13">
        <f t="shared" si="18"/>
        <v>301</v>
      </c>
      <c r="AG79" s="4">
        <f t="shared" si="19"/>
        <v>7.6565885879801918</v>
      </c>
      <c r="AH79" s="5">
        <f t="shared" si="20"/>
        <v>0.95947706354169593</v>
      </c>
      <c r="AI79" s="4">
        <f t="shared" si="21"/>
        <v>1.7572737795289832</v>
      </c>
      <c r="AJ79" s="4">
        <f t="shared" si="22"/>
        <v>1.5940594992436463</v>
      </c>
      <c r="AK79" s="14">
        <f t="shared" si="23"/>
        <v>70516.7731564758</v>
      </c>
      <c r="AL79" s="14">
        <f t="shared" si="24"/>
        <v>-17511.266161230702</v>
      </c>
      <c r="AM79" s="15">
        <f t="shared" si="25"/>
        <v>1.0175727377952899</v>
      </c>
      <c r="AN79" s="15">
        <f t="shared" si="26"/>
        <v>1.0159405949924365</v>
      </c>
    </row>
    <row r="80" spans="1:40" x14ac:dyDescent="0.2">
      <c r="A80">
        <v>158880</v>
      </c>
      <c r="B80">
        <v>1980</v>
      </c>
      <c r="C80">
        <v>243</v>
      </c>
      <c r="D80" t="s">
        <v>40</v>
      </c>
      <c r="E80" t="s">
        <v>41</v>
      </c>
      <c r="F80">
        <v>3413</v>
      </c>
      <c r="G80" s="1">
        <v>350.8</v>
      </c>
      <c r="H80">
        <v>336</v>
      </c>
      <c r="I80" s="2">
        <v>43406</v>
      </c>
      <c r="J80">
        <v>1980</v>
      </c>
      <c r="K80">
        <v>0</v>
      </c>
      <c r="L80" s="1">
        <v>69.7</v>
      </c>
      <c r="M80" s="1">
        <v>921.2</v>
      </c>
      <c r="N80" s="1">
        <v>78.099999999999994</v>
      </c>
      <c r="O80" s="3">
        <v>6.4879999999999998E-3</v>
      </c>
      <c r="P80" s="4">
        <v>1.167</v>
      </c>
      <c r="Q80" s="4">
        <v>0.17499999999999999</v>
      </c>
      <c r="R80" s="1">
        <v>296.5</v>
      </c>
      <c r="S80" s="1">
        <v>285.3</v>
      </c>
      <c r="T80" s="1">
        <v>115.7</v>
      </c>
      <c r="U80" s="1">
        <v>169.6</v>
      </c>
      <c r="V80" s="1">
        <v>148.1</v>
      </c>
      <c r="W80" s="1">
        <v>213.1</v>
      </c>
      <c r="X80" s="1">
        <v>104</v>
      </c>
      <c r="Y80">
        <v>0.216</v>
      </c>
      <c r="Z80">
        <v>1.399</v>
      </c>
      <c r="AA80" s="4">
        <v>0.219</v>
      </c>
      <c r="AB80" s="4">
        <v>0.67900000000000005</v>
      </c>
      <c r="AC80" s="4">
        <v>0.26800000000000002</v>
      </c>
      <c r="AD80" s="12">
        <v>36447.300000000003</v>
      </c>
      <c r="AE80" s="1">
        <v>-5364.1859999999997</v>
      </c>
      <c r="AF80" s="13">
        <f t="shared" si="18"/>
        <v>302</v>
      </c>
      <c r="AG80" s="4">
        <f t="shared" si="19"/>
        <v>7.8075915069990671</v>
      </c>
      <c r="AH80" s="5">
        <f t="shared" si="20"/>
        <v>0.9783998299489054</v>
      </c>
      <c r="AI80" s="4">
        <f t="shared" si="21"/>
        <v>1.7934384030034496</v>
      </c>
      <c r="AJ80" s="4">
        <f t="shared" si="22"/>
        <v>1.6279473354639973</v>
      </c>
      <c r="AK80" s="14">
        <f t="shared" si="23"/>
        <v>37100.959875057881</v>
      </c>
      <c r="AL80" s="14">
        <f t="shared" si="24"/>
        <v>-5451.5121230563318</v>
      </c>
      <c r="AM80" s="15">
        <f t="shared" si="25"/>
        <v>1.0179343840300346</v>
      </c>
      <c r="AN80" s="15">
        <f t="shared" si="26"/>
        <v>1.0162794733546399</v>
      </c>
    </row>
    <row r="81" spans="1:40" x14ac:dyDescent="0.2">
      <c r="A81">
        <v>158880</v>
      </c>
      <c r="B81">
        <v>1980</v>
      </c>
      <c r="C81">
        <v>243</v>
      </c>
      <c r="D81" t="s">
        <v>40</v>
      </c>
      <c r="E81" t="s">
        <v>42</v>
      </c>
      <c r="F81">
        <v>3413</v>
      </c>
      <c r="G81" s="1">
        <v>1104.4000000000001</v>
      </c>
      <c r="H81">
        <v>504</v>
      </c>
      <c r="I81" s="2">
        <v>43406</v>
      </c>
      <c r="J81">
        <v>1983</v>
      </c>
      <c r="K81">
        <v>0</v>
      </c>
      <c r="L81" s="1">
        <v>103.5</v>
      </c>
      <c r="M81" s="1">
        <v>845.3</v>
      </c>
      <c r="N81" s="1">
        <v>125</v>
      </c>
      <c r="O81" s="3">
        <v>2.0323000000000001E-2</v>
      </c>
      <c r="P81" s="4">
        <v>1.1120000000000001</v>
      </c>
      <c r="Q81" s="4">
        <v>0.23</v>
      </c>
      <c r="R81" s="1">
        <v>210</v>
      </c>
      <c r="S81" s="1">
        <v>1007.7</v>
      </c>
      <c r="T81" s="1">
        <v>405.7</v>
      </c>
      <c r="U81" s="1">
        <v>602.1</v>
      </c>
      <c r="V81" s="1">
        <v>146.9</v>
      </c>
      <c r="W81" s="1">
        <v>179.6</v>
      </c>
      <c r="X81" s="1">
        <v>124.8</v>
      </c>
      <c r="Y81">
        <v>0.22</v>
      </c>
      <c r="Z81">
        <v>1.4330000000000001</v>
      </c>
      <c r="AA81" s="4">
        <v>0.223</v>
      </c>
      <c r="AB81" s="4">
        <v>0.67</v>
      </c>
      <c r="AC81" s="4">
        <v>0.26400000000000001</v>
      </c>
      <c r="AD81" s="12">
        <v>41827.699999999997</v>
      </c>
      <c r="AE81" s="1">
        <v>-9658.2520000000004</v>
      </c>
      <c r="AF81" s="13">
        <f t="shared" si="18"/>
        <v>302</v>
      </c>
      <c r="AG81" s="4">
        <f t="shared" si="19"/>
        <v>7.8075915069990671</v>
      </c>
      <c r="AH81" s="5">
        <f t="shared" si="20"/>
        <v>0.9783998299489054</v>
      </c>
      <c r="AI81" s="4">
        <f t="shared" si="21"/>
        <v>1.7934384030034496</v>
      </c>
      <c r="AJ81" s="4">
        <f t="shared" si="22"/>
        <v>1.6279473354639973</v>
      </c>
      <c r="AK81" s="14">
        <f t="shared" si="23"/>
        <v>42577.854034893076</v>
      </c>
      <c r="AL81" s="14">
        <f t="shared" si="24"/>
        <v>-9815.4832560863979</v>
      </c>
      <c r="AM81" s="15">
        <f t="shared" si="25"/>
        <v>1.0179343840300346</v>
      </c>
      <c r="AN81" s="15">
        <f t="shared" si="26"/>
        <v>1.0162794733546399</v>
      </c>
    </row>
    <row r="82" spans="1:40" x14ac:dyDescent="0.2">
      <c r="A82">
        <v>158881</v>
      </c>
      <c r="B82">
        <v>1994</v>
      </c>
      <c r="C82">
        <v>244</v>
      </c>
      <c r="D82" t="s">
        <v>40</v>
      </c>
      <c r="E82" t="s">
        <v>44</v>
      </c>
      <c r="F82">
        <v>3413</v>
      </c>
      <c r="G82" s="1">
        <v>390.2</v>
      </c>
      <c r="H82">
        <v>336</v>
      </c>
      <c r="I82" s="2">
        <v>43406</v>
      </c>
      <c r="J82">
        <v>1984</v>
      </c>
      <c r="K82">
        <v>0</v>
      </c>
      <c r="L82" s="1">
        <v>69.2</v>
      </c>
      <c r="M82" s="1">
        <v>891</v>
      </c>
      <c r="N82" s="1">
        <v>78.099999999999994</v>
      </c>
      <c r="O82" s="3">
        <v>5.3559999999999997E-3</v>
      </c>
      <c r="P82" s="4">
        <v>1.129</v>
      </c>
      <c r="Q82" s="4">
        <v>0.16400000000000001</v>
      </c>
      <c r="R82" s="1">
        <v>330.8</v>
      </c>
      <c r="S82" s="1">
        <v>325.39999999999998</v>
      </c>
      <c r="T82" s="1">
        <v>131.69999999999999</v>
      </c>
      <c r="U82" s="1">
        <v>193.6</v>
      </c>
      <c r="V82" s="1">
        <v>214.8</v>
      </c>
      <c r="W82" s="1">
        <v>269.89999999999998</v>
      </c>
      <c r="X82" s="1">
        <v>177.5</v>
      </c>
      <c r="Y82">
        <v>0.315</v>
      </c>
      <c r="Z82">
        <v>1.7629999999999999</v>
      </c>
      <c r="AA82" s="4">
        <v>0.23400000000000001</v>
      </c>
      <c r="AB82" s="4">
        <v>0.505</v>
      </c>
      <c r="AC82" s="4">
        <v>0.19700000000000001</v>
      </c>
      <c r="AD82" s="12">
        <v>47912.9</v>
      </c>
      <c r="AE82" s="1">
        <v>-7844.7681000000002</v>
      </c>
      <c r="AF82" s="13">
        <f t="shared" si="18"/>
        <v>302</v>
      </c>
      <c r="AG82" s="4">
        <f t="shared" si="19"/>
        <v>7.8075915069990671</v>
      </c>
      <c r="AH82" s="5">
        <f t="shared" si="20"/>
        <v>0.9783998299489054</v>
      </c>
      <c r="AI82" s="4">
        <f t="shared" si="21"/>
        <v>1.7934384030034496</v>
      </c>
      <c r="AJ82" s="4">
        <f t="shared" si="22"/>
        <v>1.6279473354639973</v>
      </c>
      <c r="AK82" s="14">
        <f t="shared" si="23"/>
        <v>48772.188348592645</v>
      </c>
      <c r="AL82" s="14">
        <f t="shared" si="24"/>
        <v>-7972.4767932572786</v>
      </c>
      <c r="AM82" s="15">
        <f t="shared" si="25"/>
        <v>1.0179343840300346</v>
      </c>
      <c r="AN82" s="15">
        <f t="shared" si="26"/>
        <v>1.0162794733546399</v>
      </c>
    </row>
    <row r="83" spans="1:40" x14ac:dyDescent="0.2">
      <c r="A83">
        <v>158881</v>
      </c>
      <c r="B83">
        <v>1994</v>
      </c>
      <c r="C83">
        <v>244</v>
      </c>
      <c r="D83" t="s">
        <v>40</v>
      </c>
      <c r="E83" t="s">
        <v>45</v>
      </c>
      <c r="F83">
        <v>3413</v>
      </c>
      <c r="G83" s="1">
        <v>1221.5</v>
      </c>
      <c r="H83">
        <v>504</v>
      </c>
      <c r="I83" s="2">
        <v>43406</v>
      </c>
      <c r="J83">
        <v>1987</v>
      </c>
      <c r="K83">
        <v>0</v>
      </c>
      <c r="L83" s="1">
        <v>109.6</v>
      </c>
      <c r="M83" s="1">
        <v>799.4</v>
      </c>
      <c r="N83" s="1">
        <v>131.9</v>
      </c>
      <c r="O83" s="3">
        <v>2.7755999999999999E-2</v>
      </c>
      <c r="P83" s="4">
        <v>1.113</v>
      </c>
      <c r="Q83" s="4">
        <v>0.21299999999999999</v>
      </c>
      <c r="R83" s="1">
        <v>296.2</v>
      </c>
      <c r="S83" s="1">
        <v>1119.0999999999999</v>
      </c>
      <c r="T83" s="1">
        <v>450.5</v>
      </c>
      <c r="U83" s="1">
        <v>668.6</v>
      </c>
      <c r="V83" s="1">
        <v>248.5</v>
      </c>
      <c r="W83" s="1">
        <v>272.60000000000002</v>
      </c>
      <c r="X83" s="1">
        <v>232.1</v>
      </c>
      <c r="Y83">
        <v>0.36399999999999999</v>
      </c>
      <c r="Z83">
        <v>1.8819999999999999</v>
      </c>
      <c r="AA83" s="4">
        <v>0.26400000000000001</v>
      </c>
      <c r="AB83" s="4">
        <v>0.48099999999999998</v>
      </c>
      <c r="AC83" s="4">
        <v>0.19500000000000001</v>
      </c>
      <c r="AD83" s="12">
        <v>74520.399999999994</v>
      </c>
      <c r="AE83" s="1">
        <v>-20026.187999999998</v>
      </c>
      <c r="AF83" s="13">
        <f t="shared" si="18"/>
        <v>302</v>
      </c>
      <c r="AG83" s="4">
        <f t="shared" si="19"/>
        <v>7.8075915069990671</v>
      </c>
      <c r="AH83" s="5">
        <f t="shared" si="20"/>
        <v>0.9783998299489054</v>
      </c>
      <c r="AI83" s="4">
        <f t="shared" si="21"/>
        <v>1.7934384030034496</v>
      </c>
      <c r="AJ83" s="4">
        <f t="shared" si="22"/>
        <v>1.6279473354639973</v>
      </c>
      <c r="AK83" s="14">
        <f t="shared" si="23"/>
        <v>75856.877471671774</v>
      </c>
      <c r="AL83" s="14">
        <f t="shared" si="24"/>
        <v>-20352.203793941007</v>
      </c>
      <c r="AM83" s="15">
        <f t="shared" si="25"/>
        <v>1.0179343840300346</v>
      </c>
      <c r="AN83" s="15">
        <f t="shared" si="26"/>
        <v>1.0162794733546399</v>
      </c>
    </row>
    <row r="84" spans="1:40" x14ac:dyDescent="0.2">
      <c r="A84">
        <v>158910</v>
      </c>
      <c r="B84">
        <v>1998</v>
      </c>
      <c r="C84">
        <v>245</v>
      </c>
      <c r="D84" t="s">
        <v>40</v>
      </c>
      <c r="E84" t="s">
        <v>41</v>
      </c>
      <c r="F84">
        <v>3413</v>
      </c>
      <c r="G84" s="1">
        <v>411.5</v>
      </c>
      <c r="H84">
        <v>336</v>
      </c>
      <c r="I84" s="2">
        <v>43409</v>
      </c>
      <c r="J84">
        <v>1994</v>
      </c>
      <c r="K84">
        <v>0</v>
      </c>
      <c r="L84" s="1">
        <v>64.900000000000006</v>
      </c>
      <c r="M84" s="1">
        <v>804.3</v>
      </c>
      <c r="N84" s="1">
        <v>79.8</v>
      </c>
      <c r="O84" s="3">
        <v>1.0165E-2</v>
      </c>
      <c r="P84" s="4">
        <v>1.034</v>
      </c>
      <c r="Q84" s="4">
        <v>0.17100000000000001</v>
      </c>
      <c r="R84" s="1">
        <v>277.7</v>
      </c>
      <c r="S84" s="1">
        <v>351</v>
      </c>
      <c r="T84" s="1">
        <v>142</v>
      </c>
      <c r="U84" s="1">
        <v>209</v>
      </c>
      <c r="V84" s="1">
        <v>183.9</v>
      </c>
      <c r="W84" s="1">
        <v>241.9</v>
      </c>
      <c r="X84" s="1">
        <v>144.6</v>
      </c>
      <c r="Y84">
        <v>0.27400000000000002</v>
      </c>
      <c r="Z84">
        <v>1.4930000000000001</v>
      </c>
      <c r="AA84" s="4">
        <v>0.23499999999999999</v>
      </c>
      <c r="AB84" s="4">
        <v>0.59599999999999997</v>
      </c>
      <c r="AC84" s="4">
        <v>0.22900000000000001</v>
      </c>
      <c r="AD84" s="12">
        <v>41341.9</v>
      </c>
      <c r="AE84" s="1">
        <v>-7170.3428000000004</v>
      </c>
      <c r="AF84" s="13">
        <f t="shared" si="18"/>
        <v>305</v>
      </c>
      <c r="AG84" s="4">
        <f t="shared" si="19"/>
        <v>8.2787047955513415</v>
      </c>
      <c r="AH84" s="5">
        <f t="shared" si="20"/>
        <v>1.0374368788253752</v>
      </c>
      <c r="AI84" s="4">
        <f t="shared" si="21"/>
        <v>1.9062682397046924</v>
      </c>
      <c r="AJ84" s="4">
        <f t="shared" si="22"/>
        <v>1.7336738344444231</v>
      </c>
      <c r="AK84" s="14">
        <f t="shared" si="23"/>
        <v>42129.987509390477</v>
      </c>
      <c r="AL84" s="14">
        <f t="shared" si="24"/>
        <v>-7294.6531569635699</v>
      </c>
      <c r="AM84" s="15">
        <f t="shared" si="25"/>
        <v>1.019062682397047</v>
      </c>
      <c r="AN84" s="15">
        <f t="shared" si="26"/>
        <v>1.0173367383444443</v>
      </c>
    </row>
    <row r="85" spans="1:40" x14ac:dyDescent="0.2">
      <c r="A85">
        <v>158910</v>
      </c>
      <c r="B85">
        <v>1998</v>
      </c>
      <c r="C85">
        <v>245</v>
      </c>
      <c r="D85" t="s">
        <v>40</v>
      </c>
      <c r="E85" t="s">
        <v>42</v>
      </c>
      <c r="F85">
        <v>3413</v>
      </c>
      <c r="G85" s="1">
        <v>1228.3</v>
      </c>
      <c r="H85">
        <v>504</v>
      </c>
      <c r="I85" s="2">
        <v>43409</v>
      </c>
      <c r="J85">
        <v>1995</v>
      </c>
      <c r="K85">
        <v>0</v>
      </c>
      <c r="L85" s="1">
        <v>85.6</v>
      </c>
      <c r="M85" s="1">
        <v>759.5</v>
      </c>
      <c r="N85" s="1">
        <v>134.30000000000001</v>
      </c>
      <c r="O85" s="3">
        <v>1.5365999999999999E-2</v>
      </c>
      <c r="P85" s="4">
        <v>0.80500000000000005</v>
      </c>
      <c r="Q85" s="4">
        <v>0.22500000000000001</v>
      </c>
      <c r="R85" s="1">
        <v>235.5</v>
      </c>
      <c r="S85" s="1">
        <v>1149.9000000000001</v>
      </c>
      <c r="T85" s="1">
        <v>462.9</v>
      </c>
      <c r="U85" s="1">
        <v>687</v>
      </c>
      <c r="V85" s="1">
        <v>198.3</v>
      </c>
      <c r="W85" s="1">
        <v>221.3</v>
      </c>
      <c r="X85" s="1">
        <v>182.9</v>
      </c>
      <c r="Y85">
        <v>0.29499999999999998</v>
      </c>
      <c r="Z85">
        <v>1.462</v>
      </c>
      <c r="AA85" s="4">
        <v>0.255</v>
      </c>
      <c r="AB85" s="4">
        <v>0.63100000000000001</v>
      </c>
      <c r="AC85" s="4">
        <v>0.28399999999999997</v>
      </c>
      <c r="AD85" s="12">
        <v>51285.599999999999</v>
      </c>
      <c r="AE85" s="1">
        <v>-13608.183000000001</v>
      </c>
      <c r="AF85" s="13">
        <f t="shared" si="18"/>
        <v>305</v>
      </c>
      <c r="AG85" s="4">
        <f t="shared" si="19"/>
        <v>8.2787047955513415</v>
      </c>
      <c r="AH85" s="5">
        <f t="shared" si="20"/>
        <v>1.0374368788253752</v>
      </c>
      <c r="AI85" s="4">
        <f t="shared" si="21"/>
        <v>1.9062682397046924</v>
      </c>
      <c r="AJ85" s="4">
        <f t="shared" si="22"/>
        <v>1.7336738344444231</v>
      </c>
      <c r="AK85" s="14">
        <f t="shared" si="23"/>
        <v>52263.241104341992</v>
      </c>
      <c r="AL85" s="14">
        <f t="shared" si="24"/>
        <v>-13844.104508014316</v>
      </c>
      <c r="AM85" s="15">
        <f t="shared" si="25"/>
        <v>1.019062682397047</v>
      </c>
      <c r="AN85" s="15">
        <f t="shared" si="26"/>
        <v>1.0173367383444443</v>
      </c>
    </row>
    <row r="86" spans="1:40" x14ac:dyDescent="0.2">
      <c r="A86">
        <v>158911</v>
      </c>
      <c r="B86">
        <v>1997</v>
      </c>
      <c r="C86">
        <v>246</v>
      </c>
      <c r="D86" t="s">
        <v>43</v>
      </c>
      <c r="E86" t="s">
        <v>44</v>
      </c>
      <c r="F86">
        <v>3413</v>
      </c>
      <c r="G86" s="1">
        <v>297.2</v>
      </c>
      <c r="H86">
        <v>336</v>
      </c>
      <c r="I86" s="2">
        <v>43410</v>
      </c>
      <c r="J86">
        <v>2002</v>
      </c>
      <c r="K86">
        <v>0</v>
      </c>
      <c r="L86" s="1">
        <v>60.1</v>
      </c>
      <c r="M86" s="1">
        <v>928</v>
      </c>
      <c r="N86" s="1">
        <v>68.3</v>
      </c>
      <c r="O86" s="3">
        <v>2.1559999999999999E-3</v>
      </c>
      <c r="P86" s="4">
        <v>1.0680000000000001</v>
      </c>
      <c r="Q86" s="4">
        <v>0.14299999999999999</v>
      </c>
      <c r="R86" s="1">
        <v>310</v>
      </c>
      <c r="S86" s="1">
        <v>240.9</v>
      </c>
      <c r="T86" s="1">
        <v>97.8</v>
      </c>
      <c r="U86" s="1">
        <v>143.1</v>
      </c>
      <c r="V86" s="1">
        <v>160.19999999999999</v>
      </c>
      <c r="W86" s="1">
        <v>208.8</v>
      </c>
      <c r="X86" s="1">
        <v>127.1</v>
      </c>
      <c r="Y86">
        <v>0.22500000000000001</v>
      </c>
      <c r="Z86">
        <v>1.6859999999999999</v>
      </c>
      <c r="AA86" s="4">
        <v>0.20200000000000001</v>
      </c>
      <c r="AB86" s="4">
        <v>0.55000000000000004</v>
      </c>
      <c r="AC86" s="4">
        <v>0.18099999999999999</v>
      </c>
      <c r="AD86" s="12">
        <v>33724.5</v>
      </c>
      <c r="AE86" s="1">
        <v>-5205.0771000000004</v>
      </c>
      <c r="AF86" s="13">
        <f t="shared" si="18"/>
        <v>306</v>
      </c>
      <c r="AG86" s="4">
        <f t="shared" si="19"/>
        <v>8.4419770643247087</v>
      </c>
      <c r="AH86" s="5">
        <f t="shared" si="20"/>
        <v>1.0578971654400158</v>
      </c>
      <c r="AI86" s="4">
        <f t="shared" si="21"/>
        <v>1.9453713256739951</v>
      </c>
      <c r="AJ86" s="4">
        <f t="shared" si="22"/>
        <v>1.7703151387282523</v>
      </c>
      <c r="AK86" s="14">
        <f t="shared" si="23"/>
        <v>34380.566752726932</v>
      </c>
      <c r="AL86" s="14">
        <f t="shared" si="24"/>
        <v>-5297.2233678837774</v>
      </c>
      <c r="AM86" s="15">
        <f t="shared" si="25"/>
        <v>1.0194537132567401</v>
      </c>
      <c r="AN86" s="15">
        <f t="shared" si="26"/>
        <v>1.0177031513872825</v>
      </c>
    </row>
    <row r="87" spans="1:40" x14ac:dyDescent="0.2">
      <c r="A87">
        <v>158911</v>
      </c>
      <c r="B87">
        <v>1997</v>
      </c>
      <c r="C87">
        <v>246</v>
      </c>
      <c r="D87" t="s">
        <v>43</v>
      </c>
      <c r="E87" t="s">
        <v>45</v>
      </c>
      <c r="F87">
        <v>3413</v>
      </c>
      <c r="G87" s="1">
        <v>941.1</v>
      </c>
      <c r="H87">
        <v>504</v>
      </c>
      <c r="I87" s="2">
        <v>43410</v>
      </c>
      <c r="J87">
        <v>2004</v>
      </c>
      <c r="K87">
        <v>0</v>
      </c>
      <c r="L87" s="1">
        <v>123</v>
      </c>
      <c r="M87" s="1">
        <v>888.1</v>
      </c>
      <c r="N87" s="1">
        <v>117</v>
      </c>
      <c r="O87" s="3">
        <v>1.5440000000000001E-2</v>
      </c>
      <c r="P87" s="4">
        <v>1.3280000000000001</v>
      </c>
      <c r="Q87" s="4">
        <v>0.19400000000000001</v>
      </c>
      <c r="R87" s="1">
        <v>307.60000000000002</v>
      </c>
      <c r="S87" s="1">
        <v>824.5</v>
      </c>
      <c r="T87" s="1">
        <v>332.3</v>
      </c>
      <c r="U87" s="1">
        <v>492.2</v>
      </c>
      <c r="V87" s="1">
        <v>223.2</v>
      </c>
      <c r="W87" s="1">
        <v>263.89999999999998</v>
      </c>
      <c r="X87" s="1">
        <v>195.6</v>
      </c>
      <c r="Y87">
        <v>0.32700000000000001</v>
      </c>
      <c r="Z87">
        <v>1.782</v>
      </c>
      <c r="AA87" s="4">
        <v>0.23699999999999999</v>
      </c>
      <c r="AB87" s="4">
        <v>0.50700000000000001</v>
      </c>
      <c r="AC87" s="4">
        <v>0.20499999999999999</v>
      </c>
      <c r="AD87" s="12">
        <v>64220.4</v>
      </c>
      <c r="AE87" s="1">
        <v>-16622.344000000001</v>
      </c>
      <c r="AF87" s="13">
        <f t="shared" si="18"/>
        <v>306</v>
      </c>
      <c r="AG87" s="4">
        <f t="shared" si="19"/>
        <v>8.4419770643247087</v>
      </c>
      <c r="AH87" s="5">
        <f t="shared" si="20"/>
        <v>1.0578971654400158</v>
      </c>
      <c r="AI87" s="4">
        <f t="shared" si="21"/>
        <v>1.9453713256739951</v>
      </c>
      <c r="AJ87" s="4">
        <f t="shared" si="22"/>
        <v>1.7703151387282523</v>
      </c>
      <c r="AK87" s="14">
        <f t="shared" si="23"/>
        <v>65469.72524683315</v>
      </c>
      <c r="AL87" s="14">
        <f t="shared" si="24"/>
        <v>-16916.611872243488</v>
      </c>
      <c r="AM87" s="15">
        <f t="shared" si="25"/>
        <v>1.0194537132567401</v>
      </c>
      <c r="AN87" s="15">
        <f t="shared" si="26"/>
        <v>1.0177031513872825</v>
      </c>
    </row>
    <row r="88" spans="1:40" x14ac:dyDescent="0.2">
      <c r="A88">
        <v>158912</v>
      </c>
      <c r="B88">
        <v>1996</v>
      </c>
      <c r="C88">
        <v>247</v>
      </c>
      <c r="D88" t="s">
        <v>43</v>
      </c>
      <c r="E88" t="s">
        <v>41</v>
      </c>
      <c r="F88">
        <v>3413</v>
      </c>
      <c r="G88" s="1">
        <v>297.2</v>
      </c>
      <c r="H88">
        <v>336</v>
      </c>
      <c r="I88" s="2">
        <v>43410</v>
      </c>
      <c r="J88">
        <v>2006</v>
      </c>
      <c r="K88">
        <v>0</v>
      </c>
      <c r="L88" s="1">
        <v>58</v>
      </c>
      <c r="M88" s="1">
        <v>940.2</v>
      </c>
      <c r="N88" s="1">
        <v>67.900000000000006</v>
      </c>
      <c r="O88" s="3">
        <v>4.8650000000000004E-3</v>
      </c>
      <c r="P88" s="4">
        <v>1.0980000000000001</v>
      </c>
      <c r="Q88" s="4">
        <v>0.121</v>
      </c>
      <c r="R88" s="1">
        <v>270.10000000000002</v>
      </c>
      <c r="S88" s="1">
        <v>242.8</v>
      </c>
      <c r="T88" s="1">
        <v>98.4</v>
      </c>
      <c r="U88" s="1">
        <v>144.4</v>
      </c>
      <c r="V88" s="1">
        <v>114.8</v>
      </c>
      <c r="W88" s="1">
        <v>172.6</v>
      </c>
      <c r="X88" s="1">
        <v>75.599999999999994</v>
      </c>
      <c r="Y88">
        <v>0.16300000000000001</v>
      </c>
      <c r="Z88">
        <v>1.3140000000000001</v>
      </c>
      <c r="AA88" s="4">
        <v>0.20100000000000001</v>
      </c>
      <c r="AB88" s="4">
        <v>0.74099999999999999</v>
      </c>
      <c r="AC88" s="4">
        <v>0.35099999999999998</v>
      </c>
      <c r="AD88" s="12">
        <v>25991.200000000001</v>
      </c>
      <c r="AE88" s="1">
        <v>-3351.9031</v>
      </c>
      <c r="AF88" s="13">
        <f t="shared" si="18"/>
        <v>306</v>
      </c>
      <c r="AG88" s="4">
        <f t="shared" si="19"/>
        <v>8.4419770643247087</v>
      </c>
      <c r="AH88" s="5">
        <f t="shared" si="20"/>
        <v>1.0578971654400158</v>
      </c>
      <c r="AI88" s="4">
        <f t="shared" si="21"/>
        <v>1.9453713256739951</v>
      </c>
      <c r="AJ88" s="4">
        <f t="shared" si="22"/>
        <v>1.7703151387282523</v>
      </c>
      <c r="AK88" s="14">
        <f t="shared" si="23"/>
        <v>26496.825351998585</v>
      </c>
      <c r="AL88" s="14">
        <f t="shared" si="24"/>
        <v>-3411.2423480148013</v>
      </c>
      <c r="AM88" s="15">
        <f t="shared" si="25"/>
        <v>1.0194537132567401</v>
      </c>
      <c r="AN88" s="15">
        <f t="shared" si="26"/>
        <v>1.0177031513872825</v>
      </c>
    </row>
    <row r="89" spans="1:40" x14ac:dyDescent="0.2">
      <c r="A89">
        <v>158912</v>
      </c>
      <c r="B89">
        <v>1996</v>
      </c>
      <c r="C89">
        <v>247</v>
      </c>
      <c r="D89" t="s">
        <v>43</v>
      </c>
      <c r="E89" t="s">
        <v>42</v>
      </c>
      <c r="F89">
        <v>3413</v>
      </c>
      <c r="G89" s="1">
        <v>934.4</v>
      </c>
      <c r="H89">
        <v>504</v>
      </c>
      <c r="I89" s="2">
        <v>43410</v>
      </c>
      <c r="J89">
        <v>2007</v>
      </c>
      <c r="K89">
        <v>0</v>
      </c>
      <c r="L89" s="1">
        <v>85.3</v>
      </c>
      <c r="M89" s="1">
        <v>854.3</v>
      </c>
      <c r="N89" s="1">
        <v>115.6</v>
      </c>
      <c r="O89" s="3">
        <v>1.2463E-2</v>
      </c>
      <c r="P89" s="4">
        <v>0.93700000000000006</v>
      </c>
      <c r="Q89" s="4">
        <v>0.18</v>
      </c>
      <c r="R89" s="1">
        <v>237</v>
      </c>
      <c r="S89" s="1">
        <v>855.3</v>
      </c>
      <c r="T89" s="1">
        <v>344.5</v>
      </c>
      <c r="U89" s="1">
        <v>510.8</v>
      </c>
      <c r="V89" s="1">
        <v>178.1</v>
      </c>
      <c r="W89" s="1">
        <v>199.7</v>
      </c>
      <c r="X89" s="1">
        <v>163.5</v>
      </c>
      <c r="Y89">
        <v>0.25900000000000001</v>
      </c>
      <c r="Z89">
        <v>1.6990000000000001</v>
      </c>
      <c r="AA89" s="4">
        <v>0.224</v>
      </c>
      <c r="AB89" s="4">
        <v>0.54900000000000004</v>
      </c>
      <c r="AC89" s="4">
        <v>0.21299999999999999</v>
      </c>
      <c r="AD89" s="12">
        <v>38135.599999999999</v>
      </c>
      <c r="AE89" s="1">
        <v>-9254.7422000000006</v>
      </c>
      <c r="AF89" s="13">
        <f t="shared" si="18"/>
        <v>306</v>
      </c>
      <c r="AG89" s="4">
        <f t="shared" si="19"/>
        <v>8.4419770643247087</v>
      </c>
      <c r="AH89" s="5">
        <f t="shared" si="20"/>
        <v>1.0578971654400158</v>
      </c>
      <c r="AI89" s="4">
        <f t="shared" si="21"/>
        <v>1.9453713256739951</v>
      </c>
      <c r="AJ89" s="4">
        <f t="shared" si="22"/>
        <v>1.7703151387282523</v>
      </c>
      <c r="AK89" s="14">
        <f t="shared" si="23"/>
        <v>38877.479027273737</v>
      </c>
      <c r="AL89" s="14">
        <f t="shared" si="24"/>
        <v>-9418.580302216873</v>
      </c>
      <c r="AM89" s="15">
        <f t="shared" si="25"/>
        <v>1.0194537132567401</v>
      </c>
      <c r="AN89" s="15">
        <f t="shared" si="26"/>
        <v>1.0177031513872825</v>
      </c>
    </row>
    <row r="90" spans="1:40" x14ac:dyDescent="0.2">
      <c r="A90">
        <v>158913</v>
      </c>
      <c r="B90">
        <v>1990</v>
      </c>
      <c r="C90">
        <v>248</v>
      </c>
      <c r="D90" t="s">
        <v>43</v>
      </c>
      <c r="E90" t="s">
        <v>41</v>
      </c>
      <c r="F90">
        <v>3413</v>
      </c>
      <c r="G90" s="1">
        <v>237.6</v>
      </c>
      <c r="H90">
        <v>336</v>
      </c>
      <c r="I90" s="2">
        <v>43411</v>
      </c>
      <c r="J90">
        <v>2014</v>
      </c>
      <c r="K90">
        <v>0</v>
      </c>
      <c r="L90" s="1">
        <v>56.5</v>
      </c>
      <c r="M90" s="1">
        <v>978.8</v>
      </c>
      <c r="N90" s="1">
        <v>61.4</v>
      </c>
      <c r="O90" s="3">
        <v>2.4520000000000002E-3</v>
      </c>
      <c r="P90" s="4">
        <v>1.1890000000000001</v>
      </c>
      <c r="Q90" s="4">
        <v>0.14299999999999999</v>
      </c>
      <c r="R90" s="1">
        <v>339.3</v>
      </c>
      <c r="S90" s="1">
        <v>184.5</v>
      </c>
      <c r="T90" s="1">
        <v>75</v>
      </c>
      <c r="U90" s="1">
        <v>109.5</v>
      </c>
      <c r="V90" s="1">
        <v>148.30000000000001</v>
      </c>
      <c r="W90" s="1">
        <v>203.6</v>
      </c>
      <c r="X90" s="1">
        <v>110.6</v>
      </c>
      <c r="Y90">
        <v>0.216</v>
      </c>
      <c r="Z90">
        <v>1.4550000000000001</v>
      </c>
      <c r="AA90" s="4">
        <v>0.214</v>
      </c>
      <c r="AB90" s="4">
        <v>0.63500000000000001</v>
      </c>
      <c r="AC90" s="4">
        <v>0.221</v>
      </c>
      <c r="AD90" s="12">
        <v>29883.7</v>
      </c>
      <c r="AE90" s="1">
        <v>-3741.7646</v>
      </c>
      <c r="AF90" s="13">
        <f t="shared" si="18"/>
        <v>307</v>
      </c>
      <c r="AG90" s="4">
        <f t="shared" si="19"/>
        <v>8.6084693819352793</v>
      </c>
      <c r="AH90" s="5">
        <f t="shared" si="20"/>
        <v>1.0787609689691777</v>
      </c>
      <c r="AI90" s="4">
        <f t="shared" si="21"/>
        <v>1.9852456010648236</v>
      </c>
      <c r="AJ90" s="4">
        <f t="shared" si="22"/>
        <v>1.807679081278452</v>
      </c>
      <c r="AK90" s="14">
        <f t="shared" si="23"/>
        <v>30476.964839685414</v>
      </c>
      <c r="AL90" s="14">
        <f t="shared" si="24"/>
        <v>-3809.4036959448827</v>
      </c>
      <c r="AM90" s="15">
        <f t="shared" si="25"/>
        <v>1.0198524560106483</v>
      </c>
      <c r="AN90" s="15">
        <f t="shared" si="26"/>
        <v>1.0180767908127846</v>
      </c>
    </row>
    <row r="91" spans="1:40" x14ac:dyDescent="0.2">
      <c r="A91">
        <v>158913</v>
      </c>
      <c r="B91">
        <v>1990</v>
      </c>
      <c r="C91">
        <v>248</v>
      </c>
      <c r="D91" t="s">
        <v>43</v>
      </c>
      <c r="E91" t="s">
        <v>42</v>
      </c>
      <c r="F91">
        <v>3413</v>
      </c>
      <c r="G91" s="1">
        <v>902.9</v>
      </c>
      <c r="H91">
        <v>504</v>
      </c>
      <c r="I91" s="2">
        <v>43411</v>
      </c>
      <c r="J91">
        <v>2015</v>
      </c>
      <c r="K91">
        <v>0</v>
      </c>
      <c r="L91" s="1">
        <v>87.2</v>
      </c>
      <c r="M91" s="1">
        <v>858.3</v>
      </c>
      <c r="N91" s="1">
        <v>110.6</v>
      </c>
      <c r="O91" s="3">
        <v>1.5006E-2</v>
      </c>
      <c r="P91" s="4">
        <v>1.0649999999999999</v>
      </c>
      <c r="Q91" s="4">
        <v>0.2</v>
      </c>
      <c r="R91" s="1">
        <v>256.3</v>
      </c>
      <c r="S91" s="1">
        <v>821.7</v>
      </c>
      <c r="T91" s="1">
        <v>330.9</v>
      </c>
      <c r="U91" s="1">
        <v>490.8</v>
      </c>
      <c r="V91" s="1">
        <v>194.6</v>
      </c>
      <c r="W91" s="1">
        <v>221.6</v>
      </c>
      <c r="X91" s="1">
        <v>176.5</v>
      </c>
      <c r="Y91">
        <v>0.28199999999999997</v>
      </c>
      <c r="Z91">
        <v>1.6160000000000001</v>
      </c>
      <c r="AA91" s="4">
        <v>0.24</v>
      </c>
      <c r="AB91" s="4">
        <v>0.56499999999999995</v>
      </c>
      <c r="AC91" s="4">
        <v>0.222</v>
      </c>
      <c r="AD91" s="12">
        <v>44131.8</v>
      </c>
      <c r="AE91" s="1">
        <v>-10897.432000000001</v>
      </c>
      <c r="AF91" s="13">
        <f t="shared" si="18"/>
        <v>307</v>
      </c>
      <c r="AG91" s="4">
        <f t="shared" si="19"/>
        <v>8.6084693819352793</v>
      </c>
      <c r="AH91" s="5">
        <f t="shared" si="20"/>
        <v>1.0787609689691777</v>
      </c>
      <c r="AI91" s="4">
        <f t="shared" si="21"/>
        <v>1.9852456010648236</v>
      </c>
      <c r="AJ91" s="4">
        <f t="shared" si="22"/>
        <v>1.807679081278452</v>
      </c>
      <c r="AK91" s="14">
        <f t="shared" si="23"/>
        <v>45007.924618170735</v>
      </c>
      <c r="AL91" s="14">
        <f t="shared" si="24"/>
        <v>-11094.422598660545</v>
      </c>
      <c r="AM91" s="15">
        <f t="shared" si="25"/>
        <v>1.0198524560106483</v>
      </c>
      <c r="AN91" s="15">
        <f t="shared" si="26"/>
        <v>1.0180767908127846</v>
      </c>
    </row>
    <row r="92" spans="1:40" x14ac:dyDescent="0.2">
      <c r="A92">
        <v>158914</v>
      </c>
      <c r="B92">
        <v>1990</v>
      </c>
      <c r="C92">
        <v>249</v>
      </c>
      <c r="D92" t="s">
        <v>40</v>
      </c>
      <c r="E92" t="s">
        <v>41</v>
      </c>
      <c r="F92">
        <v>3413</v>
      </c>
      <c r="G92">
        <v>486.5</v>
      </c>
      <c r="H92">
        <v>336</v>
      </c>
      <c r="I92" s="2">
        <v>43411</v>
      </c>
      <c r="J92">
        <v>2017</v>
      </c>
      <c r="K92">
        <v>0</v>
      </c>
      <c r="L92">
        <v>75.099999999999994</v>
      </c>
      <c r="M92">
        <v>862</v>
      </c>
      <c r="N92">
        <v>89.7</v>
      </c>
      <c r="O92">
        <v>7.136E-3</v>
      </c>
      <c r="P92">
        <v>1.087</v>
      </c>
      <c r="Q92">
        <v>0.183</v>
      </c>
      <c r="R92">
        <v>298.3</v>
      </c>
      <c r="S92">
        <v>416.4</v>
      </c>
      <c r="T92">
        <v>168.5</v>
      </c>
      <c r="U92">
        <v>247.9</v>
      </c>
      <c r="V92">
        <v>199.5</v>
      </c>
      <c r="W92">
        <v>244.6</v>
      </c>
      <c r="X92">
        <v>168.9</v>
      </c>
      <c r="Y92">
        <v>0.29199999999999998</v>
      </c>
      <c r="Z92">
        <v>1.589</v>
      </c>
      <c r="AA92">
        <v>0.246</v>
      </c>
      <c r="AB92">
        <v>0.57199999999999995</v>
      </c>
      <c r="AC92">
        <v>0.22</v>
      </c>
      <c r="AD92" s="12">
        <v>45051.3</v>
      </c>
      <c r="AE92" s="1">
        <v>-6821.4521000000004</v>
      </c>
      <c r="AF92" s="13">
        <f t="shared" si="18"/>
        <v>307</v>
      </c>
      <c r="AG92" s="4">
        <f t="shared" si="19"/>
        <v>8.6084693819352793</v>
      </c>
      <c r="AH92" s="5">
        <f t="shared" si="20"/>
        <v>1.0787609689691777</v>
      </c>
      <c r="AI92" s="4">
        <f t="shared" si="21"/>
        <v>1.9852456010648236</v>
      </c>
      <c r="AJ92" s="4">
        <f t="shared" si="22"/>
        <v>1.807679081278452</v>
      </c>
      <c r="AK92" s="14">
        <f t="shared" si="23"/>
        <v>45945.678951472524</v>
      </c>
      <c r="AL92" s="14">
        <f t="shared" si="24"/>
        <v>-6944.7620626511307</v>
      </c>
      <c r="AM92" s="15">
        <f t="shared" si="25"/>
        <v>1.0198524560106483</v>
      </c>
      <c r="AN92" s="15">
        <f t="shared" si="26"/>
        <v>1.0180767908127846</v>
      </c>
    </row>
    <row r="93" spans="1:40" x14ac:dyDescent="0.2">
      <c r="A93">
        <v>158914</v>
      </c>
      <c r="B93">
        <v>1990</v>
      </c>
      <c r="C93">
        <v>249</v>
      </c>
      <c r="D93" t="s">
        <v>40</v>
      </c>
      <c r="E93" t="s">
        <v>42</v>
      </c>
      <c r="F93">
        <v>3413</v>
      </c>
      <c r="G93">
        <v>1392.5</v>
      </c>
      <c r="H93">
        <v>504</v>
      </c>
      <c r="I93" s="2">
        <v>43411</v>
      </c>
      <c r="J93">
        <v>2019</v>
      </c>
      <c r="K93">
        <v>0</v>
      </c>
      <c r="L93">
        <v>123.7</v>
      </c>
      <c r="M93">
        <v>779</v>
      </c>
      <c r="N93">
        <v>140.5</v>
      </c>
      <c r="O93">
        <v>3.1992E-2</v>
      </c>
      <c r="P93">
        <v>1.1950000000000001</v>
      </c>
      <c r="Q93">
        <v>0.215</v>
      </c>
      <c r="R93">
        <v>281.89999999999998</v>
      </c>
      <c r="S93">
        <v>1276.4000000000001</v>
      </c>
      <c r="T93">
        <v>513.4</v>
      </c>
      <c r="U93">
        <v>763</v>
      </c>
      <c r="V93">
        <v>235.3</v>
      </c>
      <c r="W93">
        <v>258</v>
      </c>
      <c r="X93">
        <v>219.9</v>
      </c>
      <c r="Y93">
        <v>0.34300000000000003</v>
      </c>
      <c r="Z93">
        <v>1.7270000000000001</v>
      </c>
      <c r="AA93">
        <v>0.26800000000000002</v>
      </c>
      <c r="AB93">
        <v>0.54200000000000004</v>
      </c>
      <c r="AC93">
        <v>0.23200000000000001</v>
      </c>
      <c r="AD93" s="12">
        <v>73170.8</v>
      </c>
      <c r="AE93" s="1">
        <v>-18447.094000000001</v>
      </c>
      <c r="AF93" s="13">
        <f t="shared" si="18"/>
        <v>307</v>
      </c>
      <c r="AG93" s="4">
        <f t="shared" si="19"/>
        <v>8.6084693819352793</v>
      </c>
      <c r="AH93" s="5">
        <f t="shared" si="20"/>
        <v>1.0787609689691777</v>
      </c>
      <c r="AI93" s="4">
        <f t="shared" si="21"/>
        <v>1.9852456010648236</v>
      </c>
      <c r="AJ93" s="4">
        <f t="shared" si="22"/>
        <v>1.807679081278452</v>
      </c>
      <c r="AK93" s="14">
        <f t="shared" si="23"/>
        <v>74623.420088263956</v>
      </c>
      <c r="AL93" s="14">
        <f t="shared" si="24"/>
        <v>-18780.558259341775</v>
      </c>
      <c r="AM93" s="15">
        <f t="shared" si="25"/>
        <v>1.0198524560106483</v>
      </c>
      <c r="AN93" s="15">
        <f t="shared" si="26"/>
        <v>1.0180767908127846</v>
      </c>
    </row>
    <row r="94" spans="1:40" x14ac:dyDescent="0.2">
      <c r="A94">
        <v>158915</v>
      </c>
      <c r="B94">
        <v>1994</v>
      </c>
      <c r="C94">
        <v>250</v>
      </c>
      <c r="D94" t="s">
        <v>40</v>
      </c>
      <c r="E94" t="s">
        <v>41</v>
      </c>
      <c r="F94">
        <v>3413</v>
      </c>
      <c r="G94">
        <v>328.3</v>
      </c>
      <c r="H94">
        <v>336</v>
      </c>
      <c r="I94" s="2">
        <v>43412</v>
      </c>
      <c r="J94">
        <v>2024</v>
      </c>
      <c r="K94">
        <v>0</v>
      </c>
      <c r="L94">
        <v>72.2</v>
      </c>
      <c r="M94">
        <v>889.1</v>
      </c>
      <c r="N94">
        <v>73.7</v>
      </c>
      <c r="O94">
        <v>7.0790000000000002E-3</v>
      </c>
      <c r="P94">
        <v>1.2450000000000001</v>
      </c>
      <c r="Q94">
        <v>0.17599999999999999</v>
      </c>
      <c r="R94">
        <v>376.9</v>
      </c>
      <c r="S94">
        <v>260.10000000000002</v>
      </c>
      <c r="T94">
        <v>105.5</v>
      </c>
      <c r="U94">
        <v>154.6</v>
      </c>
      <c r="V94">
        <v>237.8</v>
      </c>
      <c r="W94">
        <v>283.3</v>
      </c>
      <c r="X94">
        <v>206.9</v>
      </c>
      <c r="Y94">
        <v>0.34899999999999998</v>
      </c>
      <c r="Z94">
        <v>1.748</v>
      </c>
      <c r="AA94">
        <v>0.25</v>
      </c>
      <c r="AB94">
        <v>0.49099999999999999</v>
      </c>
      <c r="AC94">
        <v>0.188</v>
      </c>
      <c r="AD94" s="12">
        <v>49339.8</v>
      </c>
      <c r="AE94" s="1">
        <v>-8056.4160000000002</v>
      </c>
      <c r="AF94" s="13">
        <f t="shared" si="18"/>
        <v>308</v>
      </c>
      <c r="AG94" s="4">
        <f t="shared" si="19"/>
        <v>8.7782452540511606</v>
      </c>
      <c r="AH94" s="5">
        <f t="shared" si="20"/>
        <v>1.1000362475565242</v>
      </c>
      <c r="AI94" s="4">
        <f t="shared" si="21"/>
        <v>2.0259062752426025</v>
      </c>
      <c r="AJ94" s="4">
        <f t="shared" si="22"/>
        <v>1.8457799139366013</v>
      </c>
      <c r="AK94" s="14">
        <f t="shared" si="23"/>
        <v>50339.378104392148</v>
      </c>
      <c r="AL94" s="14">
        <f t="shared" si="24"/>
        <v>-8205.1197083111747</v>
      </c>
      <c r="AM94" s="15">
        <f t="shared" si="25"/>
        <v>1.0202590627524259</v>
      </c>
      <c r="AN94" s="15">
        <f t="shared" si="26"/>
        <v>1.018457799139366</v>
      </c>
    </row>
    <row r="95" spans="1:40" x14ac:dyDescent="0.2">
      <c r="A95">
        <v>158915</v>
      </c>
      <c r="B95">
        <v>1994</v>
      </c>
      <c r="C95">
        <v>250</v>
      </c>
      <c r="D95" t="s">
        <v>40</v>
      </c>
      <c r="E95" t="s">
        <v>42</v>
      </c>
      <c r="F95">
        <v>3413</v>
      </c>
      <c r="G95">
        <v>1089.8</v>
      </c>
      <c r="H95">
        <v>504</v>
      </c>
      <c r="I95" s="2">
        <v>43412</v>
      </c>
      <c r="J95">
        <v>2026</v>
      </c>
      <c r="K95">
        <v>0</v>
      </c>
      <c r="L95">
        <v>136.5</v>
      </c>
      <c r="M95">
        <v>859.7</v>
      </c>
      <c r="N95">
        <v>125.3</v>
      </c>
      <c r="O95">
        <v>2.2145999999999999E-2</v>
      </c>
      <c r="P95">
        <v>1.472</v>
      </c>
      <c r="Q95">
        <v>0.22</v>
      </c>
      <c r="R95">
        <v>341.9</v>
      </c>
      <c r="S95">
        <v>960</v>
      </c>
      <c r="T95">
        <v>386.4</v>
      </c>
      <c r="U95">
        <v>573.5</v>
      </c>
      <c r="V95">
        <v>269.5</v>
      </c>
      <c r="W95">
        <v>302.39999999999998</v>
      </c>
      <c r="X95">
        <v>247.5</v>
      </c>
      <c r="Y95">
        <v>0.38900000000000001</v>
      </c>
      <c r="Z95">
        <v>1.82</v>
      </c>
      <c r="AA95">
        <v>0.29199999999999998</v>
      </c>
      <c r="AB95">
        <v>0.49</v>
      </c>
      <c r="AC95">
        <v>0.21</v>
      </c>
      <c r="AD95" s="12">
        <v>84056.4</v>
      </c>
      <c r="AE95" s="1">
        <v>-22521.33</v>
      </c>
      <c r="AF95" s="13">
        <f t="shared" si="18"/>
        <v>308</v>
      </c>
      <c r="AG95" s="4">
        <f t="shared" si="19"/>
        <v>8.7782452540511606</v>
      </c>
      <c r="AH95" s="5">
        <f t="shared" si="20"/>
        <v>1.1000362475565242</v>
      </c>
      <c r="AI95" s="4">
        <f t="shared" si="21"/>
        <v>2.0259062752426025</v>
      </c>
      <c r="AJ95" s="4">
        <f t="shared" si="22"/>
        <v>1.8457799139366013</v>
      </c>
      <c r="AK95" s="14">
        <f t="shared" si="23"/>
        <v>85759.303882343011</v>
      </c>
      <c r="AL95" s="14">
        <f t="shared" si="24"/>
        <v>-22937.02418549138</v>
      </c>
      <c r="AM95" s="15">
        <f t="shared" si="25"/>
        <v>1.0202590627524259</v>
      </c>
      <c r="AN95" s="15">
        <f t="shared" si="26"/>
        <v>1.018457799139366</v>
      </c>
    </row>
    <row r="96" spans="1:40" x14ac:dyDescent="0.2">
      <c r="A96">
        <v>158916</v>
      </c>
      <c r="B96">
        <v>1995</v>
      </c>
      <c r="C96">
        <v>251</v>
      </c>
      <c r="D96" t="s">
        <v>40</v>
      </c>
      <c r="E96" t="s">
        <v>41</v>
      </c>
      <c r="F96">
        <v>3413</v>
      </c>
      <c r="G96" s="1">
        <v>393.1</v>
      </c>
      <c r="H96">
        <v>336</v>
      </c>
      <c r="I96" s="2">
        <v>43413</v>
      </c>
      <c r="J96">
        <v>2030</v>
      </c>
      <c r="K96">
        <v>0</v>
      </c>
      <c r="L96" s="1">
        <v>84.5</v>
      </c>
      <c r="M96" s="1">
        <v>888.1</v>
      </c>
      <c r="N96" s="1">
        <v>80.599999999999994</v>
      </c>
      <c r="O96" s="3">
        <v>4.9059999999999998E-3</v>
      </c>
      <c r="P96" s="4">
        <v>1.3540000000000001</v>
      </c>
      <c r="Q96" s="4">
        <v>0.17</v>
      </c>
      <c r="R96" s="1">
        <v>352.4</v>
      </c>
      <c r="S96" s="1">
        <v>313.10000000000002</v>
      </c>
      <c r="T96" s="1">
        <v>126.9</v>
      </c>
      <c r="U96" s="1">
        <v>186.1</v>
      </c>
      <c r="V96" s="1">
        <v>210.8</v>
      </c>
      <c r="W96" s="1">
        <v>264.8</v>
      </c>
      <c r="X96" s="1">
        <v>174</v>
      </c>
      <c r="Y96">
        <v>0.307</v>
      </c>
      <c r="Z96">
        <v>1.6919999999999999</v>
      </c>
      <c r="AA96" s="4">
        <v>0.23699999999999999</v>
      </c>
      <c r="AB96" s="4">
        <v>0.52100000000000002</v>
      </c>
      <c r="AC96" s="4">
        <v>0.187</v>
      </c>
      <c r="AD96" s="12">
        <v>49206.9</v>
      </c>
      <c r="AE96" s="1">
        <v>-7171.7655999999997</v>
      </c>
      <c r="AF96" s="13">
        <f t="shared" si="18"/>
        <v>309</v>
      </c>
      <c r="AG96" s="4">
        <f t="shared" si="19"/>
        <v>8.9513694387966076</v>
      </c>
      <c r="AH96" s="5">
        <f t="shared" si="20"/>
        <v>1.1217311162958972</v>
      </c>
      <c r="AI96" s="4">
        <f t="shared" si="21"/>
        <v>2.0673688575312301</v>
      </c>
      <c r="AJ96" s="4">
        <f t="shared" si="22"/>
        <v>1.8846321696185073</v>
      </c>
      <c r="AK96" s="14">
        <f t="shared" si="23"/>
        <v>50224.188126356537</v>
      </c>
      <c r="AL96" s="14">
        <f t="shared" si="24"/>
        <v>-7306.9270016272339</v>
      </c>
      <c r="AM96" s="15">
        <f t="shared" si="25"/>
        <v>1.0206736885753123</v>
      </c>
      <c r="AN96" s="15">
        <f t="shared" si="26"/>
        <v>1.0188463216961852</v>
      </c>
    </row>
    <row r="97" spans="1:40" x14ac:dyDescent="0.2">
      <c r="A97">
        <v>158916</v>
      </c>
      <c r="B97">
        <v>1995</v>
      </c>
      <c r="C97">
        <v>251</v>
      </c>
      <c r="D97" t="s">
        <v>40</v>
      </c>
      <c r="E97" t="s">
        <v>42</v>
      </c>
      <c r="F97">
        <v>3413</v>
      </c>
      <c r="G97" s="1">
        <v>1207.0999999999999</v>
      </c>
      <c r="H97">
        <v>504</v>
      </c>
      <c r="I97" s="2">
        <v>43413</v>
      </c>
      <c r="J97">
        <v>2033</v>
      </c>
      <c r="K97">
        <v>0</v>
      </c>
      <c r="L97" s="1">
        <v>161.1</v>
      </c>
      <c r="M97" s="1">
        <v>811.3</v>
      </c>
      <c r="N97" s="1">
        <v>135.30000000000001</v>
      </c>
      <c r="O97" s="3">
        <v>3.9802999999999998E-2</v>
      </c>
      <c r="P97" s="4">
        <v>1.5349999999999999</v>
      </c>
      <c r="Q97" s="4">
        <v>0.20899999999999999</v>
      </c>
      <c r="R97" s="1">
        <v>323.60000000000002</v>
      </c>
      <c r="S97" s="1">
        <v>1053.2</v>
      </c>
      <c r="T97" s="1">
        <v>423.9</v>
      </c>
      <c r="U97" s="1">
        <v>629.29999999999995</v>
      </c>
      <c r="V97" s="1">
        <v>250.4</v>
      </c>
      <c r="W97" s="1">
        <v>293.60000000000002</v>
      </c>
      <c r="X97" s="1">
        <v>221.5</v>
      </c>
      <c r="Y97">
        <v>0.36699999999999999</v>
      </c>
      <c r="Z97">
        <v>1.897</v>
      </c>
      <c r="AA97" s="4">
        <v>0.26800000000000002</v>
      </c>
      <c r="AB97" s="4">
        <v>0.48299999999999998</v>
      </c>
      <c r="AC97" s="4">
        <v>0.20200000000000001</v>
      </c>
      <c r="AD97" s="12">
        <v>85361.8</v>
      </c>
      <c r="AE97" s="1">
        <v>-22681.381000000001</v>
      </c>
      <c r="AF97" s="13">
        <f t="shared" si="18"/>
        <v>309</v>
      </c>
      <c r="AG97" s="4">
        <f t="shared" si="19"/>
        <v>8.9513694387966076</v>
      </c>
      <c r="AH97" s="5">
        <f t="shared" si="20"/>
        <v>1.1217311162958972</v>
      </c>
      <c r="AI97" s="4">
        <f t="shared" si="21"/>
        <v>2.0673688575312301</v>
      </c>
      <c r="AJ97" s="4">
        <f t="shared" si="22"/>
        <v>1.8846321696185073</v>
      </c>
      <c r="AK97" s="14">
        <f t="shared" si="23"/>
        <v>87126.54326942809</v>
      </c>
      <c r="AL97" s="14">
        <f t="shared" si="24"/>
        <v>-23108.841602839744</v>
      </c>
      <c r="AM97" s="15">
        <f t="shared" si="25"/>
        <v>1.0206736885753123</v>
      </c>
      <c r="AN97" s="15">
        <f t="shared" si="26"/>
        <v>1.0188463216961852</v>
      </c>
    </row>
    <row r="98" spans="1:40" x14ac:dyDescent="0.2">
      <c r="A98">
        <v>158917</v>
      </c>
      <c r="B98">
        <v>1997</v>
      </c>
      <c r="C98">
        <v>252</v>
      </c>
      <c r="D98" t="s">
        <v>40</v>
      </c>
      <c r="E98" t="s">
        <v>41</v>
      </c>
      <c r="F98">
        <v>3413</v>
      </c>
      <c r="G98" s="1">
        <v>320.2</v>
      </c>
      <c r="H98">
        <v>336</v>
      </c>
      <c r="I98" s="2">
        <v>43413</v>
      </c>
      <c r="J98">
        <v>2034</v>
      </c>
      <c r="K98">
        <v>0</v>
      </c>
      <c r="L98" s="1">
        <v>58</v>
      </c>
      <c r="M98" s="1">
        <v>847.1</v>
      </c>
      <c r="N98" s="1">
        <v>67.7</v>
      </c>
      <c r="O98" s="3">
        <v>5.6140000000000001E-3</v>
      </c>
      <c r="P98" s="4">
        <v>1.083</v>
      </c>
      <c r="Q98" s="4">
        <v>0.16</v>
      </c>
      <c r="R98" s="1">
        <v>301.60000000000002</v>
      </c>
      <c r="S98" s="1">
        <v>265.89999999999998</v>
      </c>
      <c r="T98" s="1">
        <v>107.7</v>
      </c>
      <c r="U98" s="1">
        <v>158.19999999999999</v>
      </c>
      <c r="V98" s="1">
        <v>186.4</v>
      </c>
      <c r="W98" s="1">
        <v>244</v>
      </c>
      <c r="X98" s="1">
        <v>147.1</v>
      </c>
      <c r="Y98">
        <v>0.27800000000000002</v>
      </c>
      <c r="Z98">
        <v>1.4930000000000001</v>
      </c>
      <c r="AA98" s="4">
        <v>0.23200000000000001</v>
      </c>
      <c r="AB98" s="4">
        <v>0.61</v>
      </c>
      <c r="AC98" s="4">
        <v>0.23799999999999999</v>
      </c>
      <c r="AD98" s="12">
        <v>32660.799999999999</v>
      </c>
      <c r="AE98" s="1">
        <v>-4812.3926000000001</v>
      </c>
      <c r="AF98" s="13">
        <f t="shared" si="18"/>
        <v>309</v>
      </c>
      <c r="AG98" s="4">
        <f t="shared" si="19"/>
        <v>8.9513694387966076</v>
      </c>
      <c r="AH98" s="5">
        <f t="shared" si="20"/>
        <v>1.1217311162958972</v>
      </c>
      <c r="AI98" s="4">
        <f t="shared" si="21"/>
        <v>2.0673688575312301</v>
      </c>
      <c r="AJ98" s="4">
        <f t="shared" si="22"/>
        <v>1.8846321696185073</v>
      </c>
      <c r="AK98" s="14">
        <f t="shared" si="23"/>
        <v>33336.019207820558</v>
      </c>
      <c r="AL98" s="14">
        <f t="shared" si="24"/>
        <v>-4903.0884990679415</v>
      </c>
      <c r="AM98" s="15">
        <f t="shared" si="25"/>
        <v>1.0206736885753123</v>
      </c>
      <c r="AN98" s="15">
        <f t="shared" si="26"/>
        <v>1.0188463216961852</v>
      </c>
    </row>
    <row r="99" spans="1:40" x14ac:dyDescent="0.2">
      <c r="A99">
        <v>158917</v>
      </c>
      <c r="B99">
        <v>1997</v>
      </c>
      <c r="C99">
        <v>252</v>
      </c>
      <c r="D99" t="s">
        <v>40</v>
      </c>
      <c r="E99" t="s">
        <v>42</v>
      </c>
      <c r="F99">
        <v>3413</v>
      </c>
      <c r="G99" s="1">
        <v>934.9</v>
      </c>
      <c r="H99">
        <v>504</v>
      </c>
      <c r="I99" s="2">
        <v>43413</v>
      </c>
      <c r="J99">
        <v>2036</v>
      </c>
      <c r="K99">
        <v>0</v>
      </c>
      <c r="L99" s="1">
        <v>116.7</v>
      </c>
      <c r="M99" s="1">
        <v>823.7</v>
      </c>
      <c r="N99" s="1">
        <v>112.8</v>
      </c>
      <c r="O99" s="3">
        <v>2.4239E-2</v>
      </c>
      <c r="P99" s="4">
        <v>1.466</v>
      </c>
      <c r="Q99" s="4">
        <v>0.23499999999999999</v>
      </c>
      <c r="R99" s="1">
        <v>342.3</v>
      </c>
      <c r="S99" s="1">
        <v>824.4</v>
      </c>
      <c r="T99" s="1">
        <v>331.9</v>
      </c>
      <c r="U99" s="1">
        <v>492.4</v>
      </c>
      <c r="V99" s="1">
        <v>275.7</v>
      </c>
      <c r="W99" s="1">
        <v>290.89999999999998</v>
      </c>
      <c r="X99" s="1">
        <v>265.39999999999998</v>
      </c>
      <c r="Y99">
        <v>0.39600000000000002</v>
      </c>
      <c r="Z99">
        <v>1.7310000000000001</v>
      </c>
      <c r="AA99" s="4">
        <v>0.29599999999999999</v>
      </c>
      <c r="AB99" s="4">
        <v>0.51300000000000001</v>
      </c>
      <c r="AC99" s="4">
        <v>0.214</v>
      </c>
      <c r="AD99" s="12">
        <v>76223.5</v>
      </c>
      <c r="AE99" s="1">
        <v>-19589.055</v>
      </c>
      <c r="AF99" s="13">
        <f t="shared" ref="AF99:AF130" si="27">I99-$AF$2</f>
        <v>309</v>
      </c>
      <c r="AG99" s="4">
        <f t="shared" ref="AG99" si="28">0.02143*EXP(0.01953*AF99)</f>
        <v>8.9513694387966076</v>
      </c>
      <c r="AH99" s="5">
        <f t="shared" ref="AH99" si="29">AG99/797.996*100</f>
        <v>1.1217311162958972</v>
      </c>
      <c r="AI99" s="4">
        <f t="shared" ref="AI99:AI130" si="30">AH99*1.91117-0.07645</f>
        <v>2.0673688575312301</v>
      </c>
      <c r="AJ99" s="4">
        <f t="shared" ref="AJ99:AJ130" si="31">AH99*1.79085-0.12422</f>
        <v>1.8846321696185073</v>
      </c>
      <c r="AK99" s="14">
        <f t="shared" ref="AK99:AK130" si="32">AD99*(1+AI99/100)</f>
        <v>77799.320901120314</v>
      </c>
      <c r="AL99" s="14">
        <f t="shared" ref="AL99:AL130" si="33">AE99*(1+AJ99/100)</f>
        <v>-19958.236632254266</v>
      </c>
      <c r="AM99" s="15">
        <f t="shared" ref="AM99:AM130" si="34">AK99/AD99</f>
        <v>1.0206736885753123</v>
      </c>
      <c r="AN99" s="15">
        <f t="shared" ref="AN99:AN130" si="35">AL99/AE99</f>
        <v>1.0188463216961852</v>
      </c>
    </row>
    <row r="100" spans="1:40" x14ac:dyDescent="0.2">
      <c r="A100">
        <v>158969</v>
      </c>
      <c r="B100">
        <v>1994</v>
      </c>
      <c r="C100">
        <v>253</v>
      </c>
      <c r="D100" t="s">
        <v>43</v>
      </c>
      <c r="E100" t="s">
        <v>44</v>
      </c>
      <c r="F100">
        <v>3413</v>
      </c>
      <c r="G100">
        <v>273.60000000000002</v>
      </c>
      <c r="H100">
        <v>336</v>
      </c>
      <c r="I100" s="2">
        <v>43416</v>
      </c>
      <c r="J100">
        <v>2040</v>
      </c>
      <c r="K100">
        <v>0</v>
      </c>
      <c r="L100">
        <v>59.4</v>
      </c>
      <c r="M100">
        <v>899.8</v>
      </c>
      <c r="N100">
        <v>65.7</v>
      </c>
      <c r="O100">
        <v>7.3870000000000003E-3</v>
      </c>
      <c r="P100">
        <v>1.161</v>
      </c>
      <c r="Q100">
        <v>0.17100000000000001</v>
      </c>
      <c r="R100">
        <v>333.9</v>
      </c>
      <c r="S100">
        <v>217.8</v>
      </c>
      <c r="T100">
        <v>88.5</v>
      </c>
      <c r="U100">
        <v>129.30000000000001</v>
      </c>
      <c r="V100">
        <v>183.9</v>
      </c>
      <c r="W100">
        <v>237.6</v>
      </c>
      <c r="X100">
        <v>147.1</v>
      </c>
      <c r="Y100">
        <v>0.26800000000000002</v>
      </c>
      <c r="Z100">
        <v>1.6539999999999999</v>
      </c>
      <c r="AA100">
        <v>0.216</v>
      </c>
      <c r="AB100">
        <v>0.55400000000000005</v>
      </c>
      <c r="AC100">
        <v>0.19400000000000001</v>
      </c>
      <c r="AD100" s="12">
        <v>31895.4</v>
      </c>
      <c r="AE100" s="1">
        <v>-4460.5347000000002</v>
      </c>
      <c r="AF100" s="16">
        <f t="shared" si="27"/>
        <v>312</v>
      </c>
      <c r="AG100" s="4">
        <f t="shared" ref="AG100:AG131" si="36">0.0001442*EXP(0.02928*AF100)</f>
        <v>1.3378323660336133</v>
      </c>
      <c r="AH100" s="5">
        <f t="shared" ref="AH100:AH131" si="37">AG100/798.744*100</f>
        <v>0.16749200820708679</v>
      </c>
      <c r="AI100" s="4">
        <f t="shared" si="30"/>
        <v>0.24365570132513803</v>
      </c>
      <c r="AJ100" s="4">
        <f t="shared" si="31"/>
        <v>0.17573306289766139</v>
      </c>
      <c r="AK100" s="14">
        <f t="shared" si="32"/>
        <v>31973.114960560459</v>
      </c>
      <c r="AL100" s="14">
        <f t="shared" si="33"/>
        <v>-4468.3733342499236</v>
      </c>
      <c r="AM100" s="15">
        <f t="shared" si="34"/>
        <v>1.0024365570132514</v>
      </c>
      <c r="AN100" s="15">
        <f t="shared" si="35"/>
        <v>1.0017573306289766</v>
      </c>
    </row>
    <row r="101" spans="1:40" x14ac:dyDescent="0.2">
      <c r="A101">
        <v>158969</v>
      </c>
      <c r="B101">
        <v>1994</v>
      </c>
      <c r="C101">
        <v>253</v>
      </c>
      <c r="D101" t="s">
        <v>43</v>
      </c>
      <c r="E101" t="s">
        <v>45</v>
      </c>
      <c r="F101">
        <v>3413</v>
      </c>
      <c r="G101" s="1">
        <v>886.8</v>
      </c>
      <c r="H101">
        <v>504</v>
      </c>
      <c r="I101" s="2">
        <v>43416</v>
      </c>
      <c r="J101">
        <v>2041</v>
      </c>
      <c r="K101">
        <v>0</v>
      </c>
      <c r="L101" s="1">
        <v>103.1</v>
      </c>
      <c r="M101" s="1">
        <v>844.7</v>
      </c>
      <c r="N101" s="1">
        <v>113.4</v>
      </c>
      <c r="O101" s="3">
        <v>2.1531999999999999E-2</v>
      </c>
      <c r="P101" s="4">
        <v>1.1930000000000001</v>
      </c>
      <c r="Q101" s="4">
        <v>0.223</v>
      </c>
      <c r="R101" s="1">
        <v>292.5</v>
      </c>
      <c r="S101" s="1">
        <v>789.9</v>
      </c>
      <c r="T101" s="1">
        <v>318.3</v>
      </c>
      <c r="U101" s="1">
        <v>471.6</v>
      </c>
      <c r="V101" s="1">
        <v>222.4</v>
      </c>
      <c r="W101" s="1">
        <v>255</v>
      </c>
      <c r="X101" s="1">
        <v>200.5</v>
      </c>
      <c r="Y101">
        <v>0.32500000000000001</v>
      </c>
      <c r="Z101">
        <v>1.651</v>
      </c>
      <c r="AA101" s="4">
        <v>0.24399999999999999</v>
      </c>
      <c r="AB101" s="4">
        <v>0.55800000000000005</v>
      </c>
      <c r="AC101" s="4">
        <v>0.24399999999999999</v>
      </c>
      <c r="AD101" s="12">
        <v>58594.8</v>
      </c>
      <c r="AE101" s="1">
        <v>-14923.728999999999</v>
      </c>
      <c r="AF101" s="16">
        <f t="shared" si="27"/>
        <v>312</v>
      </c>
      <c r="AG101" s="4">
        <f t="shared" si="36"/>
        <v>1.3378323660336133</v>
      </c>
      <c r="AH101" s="5">
        <f t="shared" si="37"/>
        <v>0.16749200820708679</v>
      </c>
      <c r="AI101" s="4">
        <f t="shared" si="30"/>
        <v>0.24365570132513803</v>
      </c>
      <c r="AJ101" s="4">
        <f t="shared" si="31"/>
        <v>0.17573306289766139</v>
      </c>
      <c r="AK101" s="14">
        <f t="shared" si="32"/>
        <v>58737.569570880063</v>
      </c>
      <c r="AL101" s="14">
        <f t="shared" si="33"/>
        <v>-14949.954926070246</v>
      </c>
      <c r="AM101" s="15">
        <f t="shared" si="34"/>
        <v>1.0024365570132514</v>
      </c>
      <c r="AN101" s="15">
        <f t="shared" si="35"/>
        <v>1.0017573306289766</v>
      </c>
    </row>
    <row r="102" spans="1:40" x14ac:dyDescent="0.2">
      <c r="A102">
        <v>158980</v>
      </c>
      <c r="B102">
        <v>1998</v>
      </c>
      <c r="C102">
        <v>254</v>
      </c>
      <c r="D102" t="s">
        <v>40</v>
      </c>
      <c r="E102" t="s">
        <v>41</v>
      </c>
      <c r="F102">
        <v>3413</v>
      </c>
      <c r="G102" s="1">
        <v>329.1</v>
      </c>
      <c r="H102">
        <v>336</v>
      </c>
      <c r="I102" s="2">
        <v>43417</v>
      </c>
      <c r="J102">
        <v>2045</v>
      </c>
      <c r="K102">
        <v>0</v>
      </c>
      <c r="L102" s="1">
        <v>70.5</v>
      </c>
      <c r="M102" s="1">
        <v>869.6</v>
      </c>
      <c r="N102" s="1">
        <v>74.099999999999994</v>
      </c>
      <c r="O102" s="3">
        <v>5.849E-3</v>
      </c>
      <c r="P102" s="4">
        <v>1.167</v>
      </c>
      <c r="Q102" s="4">
        <v>0.16700000000000001</v>
      </c>
      <c r="R102" s="1">
        <v>327.60000000000002</v>
      </c>
      <c r="S102" s="1">
        <v>262.7</v>
      </c>
      <c r="T102" s="1">
        <v>106.6</v>
      </c>
      <c r="U102" s="1">
        <v>156.1</v>
      </c>
      <c r="V102" s="1">
        <v>186.2</v>
      </c>
      <c r="W102" s="1">
        <v>240.9</v>
      </c>
      <c r="X102" s="1">
        <v>148.6</v>
      </c>
      <c r="Y102">
        <v>0.27500000000000002</v>
      </c>
      <c r="Z102">
        <v>1.429</v>
      </c>
      <c r="AA102" s="4">
        <v>0.24299999999999999</v>
      </c>
      <c r="AB102" s="4">
        <v>0.61199999999999999</v>
      </c>
      <c r="AC102" s="4">
        <v>0.223</v>
      </c>
      <c r="AD102" s="12">
        <v>41686</v>
      </c>
      <c r="AE102" s="1">
        <v>-6650.3393999999998</v>
      </c>
      <c r="AF102" s="16">
        <f t="shared" si="27"/>
        <v>313</v>
      </c>
      <c r="AG102" s="4">
        <f t="shared" si="36"/>
        <v>1.3775832101824863</v>
      </c>
      <c r="AH102" s="5">
        <f t="shared" si="37"/>
        <v>0.17246867709585129</v>
      </c>
      <c r="AI102" s="4">
        <f t="shared" si="30"/>
        <v>0.25316696160527807</v>
      </c>
      <c r="AJ102" s="4">
        <f t="shared" si="31"/>
        <v>0.18464553037710529</v>
      </c>
      <c r="AK102" s="14">
        <f t="shared" si="32"/>
        <v>41791.535179614781</v>
      </c>
      <c r="AL102" s="14">
        <f t="shared" si="33"/>
        <v>-6662.6189544570079</v>
      </c>
      <c r="AM102" s="15">
        <f t="shared" si="34"/>
        <v>1.0025316696160529</v>
      </c>
      <c r="AN102" s="15">
        <f t="shared" si="35"/>
        <v>1.0018464553037711</v>
      </c>
    </row>
    <row r="103" spans="1:40" x14ac:dyDescent="0.2">
      <c r="A103">
        <v>158980</v>
      </c>
      <c r="B103">
        <v>1998</v>
      </c>
      <c r="C103">
        <v>254</v>
      </c>
      <c r="D103" t="s">
        <v>40</v>
      </c>
      <c r="E103" t="s">
        <v>42</v>
      </c>
      <c r="F103">
        <v>3413</v>
      </c>
      <c r="G103" s="1">
        <v>1195.4000000000001</v>
      </c>
      <c r="H103">
        <v>504</v>
      </c>
      <c r="I103" s="2">
        <v>43417</v>
      </c>
      <c r="J103">
        <v>2046</v>
      </c>
      <c r="K103">
        <v>0</v>
      </c>
      <c r="L103" s="1">
        <v>135.80000000000001</v>
      </c>
      <c r="M103" s="1">
        <v>808.9</v>
      </c>
      <c r="N103" s="1">
        <v>136.9</v>
      </c>
      <c r="O103" s="3">
        <v>3.1761999999999999E-2</v>
      </c>
      <c r="P103" s="4">
        <v>1.3049999999999999</v>
      </c>
      <c r="Q103" s="4">
        <v>0.20599999999999999</v>
      </c>
      <c r="R103" s="1">
        <v>302</v>
      </c>
      <c r="S103" s="1">
        <v>1066.9000000000001</v>
      </c>
      <c r="T103" s="1">
        <v>429.5</v>
      </c>
      <c r="U103" s="1">
        <v>637.4</v>
      </c>
      <c r="V103" s="1">
        <v>239.2</v>
      </c>
      <c r="W103" s="1">
        <v>282.10000000000002</v>
      </c>
      <c r="X103" s="1">
        <v>210.3</v>
      </c>
      <c r="Y103">
        <v>0.35199999999999998</v>
      </c>
      <c r="Z103">
        <v>1.6060000000000001</v>
      </c>
      <c r="AA103" s="4">
        <v>0.27700000000000002</v>
      </c>
      <c r="AB103" s="4">
        <v>0.55900000000000005</v>
      </c>
      <c r="AC103" s="4">
        <v>0.24099999999999999</v>
      </c>
      <c r="AD103" s="12">
        <v>78405.2</v>
      </c>
      <c r="AE103" s="1">
        <v>-21766.383000000002</v>
      </c>
      <c r="AF103" s="16">
        <f t="shared" si="27"/>
        <v>313</v>
      </c>
      <c r="AG103" s="4">
        <f t="shared" si="36"/>
        <v>1.3775832101824863</v>
      </c>
      <c r="AH103" s="5">
        <f t="shared" si="37"/>
        <v>0.17246867709585129</v>
      </c>
      <c r="AI103" s="4">
        <f t="shared" si="30"/>
        <v>0.25316696160527807</v>
      </c>
      <c r="AJ103" s="4">
        <f t="shared" si="31"/>
        <v>0.18464553037710529</v>
      </c>
      <c r="AK103" s="14">
        <f t="shared" si="32"/>
        <v>78603.696062580551</v>
      </c>
      <c r="AL103" s="14">
        <f t="shared" si="33"/>
        <v>-21806.573653334264</v>
      </c>
      <c r="AM103" s="15">
        <f t="shared" si="34"/>
        <v>1.0025316696160529</v>
      </c>
      <c r="AN103" s="15">
        <f t="shared" si="35"/>
        <v>1.0018464553037711</v>
      </c>
    </row>
    <row r="104" spans="1:40" x14ac:dyDescent="0.2">
      <c r="A104">
        <v>158981</v>
      </c>
      <c r="B104">
        <v>1992</v>
      </c>
      <c r="C104">
        <v>255</v>
      </c>
      <c r="D104" t="s">
        <v>40</v>
      </c>
      <c r="E104" t="s">
        <v>41</v>
      </c>
      <c r="F104">
        <v>3413</v>
      </c>
      <c r="G104" s="1">
        <v>517.5</v>
      </c>
      <c r="H104">
        <v>336</v>
      </c>
      <c r="I104" s="2">
        <v>43418</v>
      </c>
      <c r="J104">
        <v>2051</v>
      </c>
      <c r="K104">
        <v>0</v>
      </c>
      <c r="L104" s="1">
        <v>68</v>
      </c>
      <c r="M104" s="1">
        <v>858</v>
      </c>
      <c r="N104" s="1">
        <v>89.6</v>
      </c>
      <c r="O104" s="3">
        <v>6.1450000000000003E-3</v>
      </c>
      <c r="P104" s="4">
        <v>0.94899999999999995</v>
      </c>
      <c r="Q104" s="4">
        <v>0.184</v>
      </c>
      <c r="R104" s="1">
        <v>251.3</v>
      </c>
      <c r="S104" s="1">
        <v>454.3</v>
      </c>
      <c r="T104" s="1">
        <v>183.5</v>
      </c>
      <c r="U104" s="1">
        <v>270.8</v>
      </c>
      <c r="V104" s="1">
        <v>164</v>
      </c>
      <c r="W104" s="1">
        <v>216.8</v>
      </c>
      <c r="X104" s="1">
        <v>128.19999999999999</v>
      </c>
      <c r="Y104">
        <v>0.23799999999999999</v>
      </c>
      <c r="Z104">
        <v>1.679</v>
      </c>
      <c r="AA104" s="4">
        <v>0.20899999999999999</v>
      </c>
      <c r="AB104" s="4">
        <v>0.55800000000000005</v>
      </c>
      <c r="AC104" s="4">
        <v>0.19700000000000001</v>
      </c>
      <c r="AD104" s="12">
        <v>39042.6</v>
      </c>
      <c r="AE104" s="1">
        <v>-5858.4160000000002</v>
      </c>
      <c r="AF104" s="16">
        <f t="shared" si="27"/>
        <v>314</v>
      </c>
      <c r="AG104" s="4">
        <f t="shared" si="36"/>
        <v>1.4185151661437698</v>
      </c>
      <c r="AH104" s="5">
        <f t="shared" si="37"/>
        <v>0.17759321711884782</v>
      </c>
      <c r="AI104" s="4">
        <f t="shared" si="30"/>
        <v>0.26296082876102839</v>
      </c>
      <c r="AJ104" s="4">
        <f t="shared" si="31"/>
        <v>0.19382281287728864</v>
      </c>
      <c r="AK104" s="14">
        <f t="shared" si="32"/>
        <v>39145.26674452985</v>
      </c>
      <c r="AL104" s="14">
        <f t="shared" si="33"/>
        <v>-5869.7709466812539</v>
      </c>
      <c r="AM104" s="15">
        <f t="shared" si="34"/>
        <v>1.0026296082876103</v>
      </c>
      <c r="AN104" s="15">
        <f t="shared" si="35"/>
        <v>1.001938228128773</v>
      </c>
    </row>
    <row r="105" spans="1:40" x14ac:dyDescent="0.2">
      <c r="A105">
        <v>158981</v>
      </c>
      <c r="B105">
        <v>1992</v>
      </c>
      <c r="C105">
        <v>255</v>
      </c>
      <c r="D105" t="s">
        <v>40</v>
      </c>
      <c r="E105" t="s">
        <v>42</v>
      </c>
      <c r="F105">
        <v>3413</v>
      </c>
      <c r="G105">
        <v>1461.3</v>
      </c>
      <c r="H105">
        <v>504</v>
      </c>
      <c r="I105" s="2">
        <v>43418</v>
      </c>
      <c r="J105">
        <v>2052</v>
      </c>
      <c r="K105">
        <v>0</v>
      </c>
      <c r="L105">
        <v>106.8</v>
      </c>
      <c r="M105">
        <v>747.8</v>
      </c>
      <c r="N105">
        <v>144.19999999999999</v>
      </c>
      <c r="O105">
        <v>2.7442000000000001E-2</v>
      </c>
      <c r="P105">
        <v>0.97499999999999998</v>
      </c>
      <c r="Q105">
        <v>0.20499999999999999</v>
      </c>
      <c r="R105">
        <v>242.2</v>
      </c>
      <c r="S105">
        <v>1362.4</v>
      </c>
      <c r="T105">
        <v>547.9</v>
      </c>
      <c r="U105">
        <v>814.5</v>
      </c>
      <c r="V105">
        <v>204.3</v>
      </c>
      <c r="W105">
        <v>224.3</v>
      </c>
      <c r="X105">
        <v>190.8</v>
      </c>
      <c r="Y105">
        <v>0.29899999999999999</v>
      </c>
      <c r="Z105">
        <v>1.792</v>
      </c>
      <c r="AA105">
        <v>0.23899999999999999</v>
      </c>
      <c r="AB105">
        <v>0.52400000000000002</v>
      </c>
      <c r="AC105">
        <v>0.216</v>
      </c>
      <c r="AD105" s="12">
        <v>57948.4</v>
      </c>
      <c r="AE105" s="1">
        <v>-14854.396000000001</v>
      </c>
      <c r="AF105" s="16">
        <f t="shared" si="27"/>
        <v>314</v>
      </c>
      <c r="AG105" s="4">
        <f t="shared" si="36"/>
        <v>1.4185151661437698</v>
      </c>
      <c r="AH105" s="5">
        <f t="shared" si="37"/>
        <v>0.17759321711884782</v>
      </c>
      <c r="AI105" s="4">
        <f t="shared" si="30"/>
        <v>0.26296082876102839</v>
      </c>
      <c r="AJ105" s="4">
        <f t="shared" si="31"/>
        <v>0.19382281287728864</v>
      </c>
      <c r="AK105" s="14">
        <f t="shared" si="32"/>
        <v>58100.781592893756</v>
      </c>
      <c r="AL105" s="14">
        <f t="shared" si="33"/>
        <v>-14883.187208163134</v>
      </c>
      <c r="AM105" s="15">
        <f t="shared" si="34"/>
        <v>1.0026296082876103</v>
      </c>
      <c r="AN105" s="15">
        <f t="shared" si="35"/>
        <v>1.001938228128773</v>
      </c>
    </row>
    <row r="106" spans="1:40" x14ac:dyDescent="0.2">
      <c r="A106">
        <v>158982</v>
      </c>
      <c r="B106">
        <v>1995</v>
      </c>
      <c r="C106">
        <v>256</v>
      </c>
      <c r="D106" t="s">
        <v>43</v>
      </c>
      <c r="E106" t="s">
        <v>44</v>
      </c>
      <c r="F106">
        <v>3413</v>
      </c>
      <c r="G106">
        <v>278.7</v>
      </c>
      <c r="H106">
        <v>336</v>
      </c>
      <c r="I106" s="2">
        <v>43418</v>
      </c>
      <c r="J106">
        <v>2055</v>
      </c>
      <c r="K106">
        <v>0</v>
      </c>
      <c r="L106">
        <v>62.5</v>
      </c>
      <c r="M106">
        <v>974.2</v>
      </c>
      <c r="N106">
        <v>66.599999999999994</v>
      </c>
      <c r="O106">
        <v>1.549E-3</v>
      </c>
      <c r="P106">
        <v>1.147</v>
      </c>
      <c r="Q106">
        <v>0.124</v>
      </c>
      <c r="R106">
        <v>282.7</v>
      </c>
      <c r="S106">
        <v>219.9</v>
      </c>
      <c r="T106">
        <v>89.3</v>
      </c>
      <c r="U106">
        <v>130.5</v>
      </c>
      <c r="V106">
        <v>91.2</v>
      </c>
      <c r="W106">
        <v>158.30000000000001</v>
      </c>
      <c r="X106">
        <v>45.6</v>
      </c>
      <c r="Y106">
        <v>0.13600000000000001</v>
      </c>
      <c r="Z106">
        <v>1.0920000000000001</v>
      </c>
      <c r="AA106">
        <v>0.20699999999999999</v>
      </c>
      <c r="AB106">
        <v>0.90600000000000003</v>
      </c>
      <c r="AC106">
        <v>0.40200000000000002</v>
      </c>
      <c r="AD106" s="12">
        <v>31012.5</v>
      </c>
      <c r="AE106" s="1">
        <v>-4404.2187999999996</v>
      </c>
      <c r="AF106" s="16">
        <f t="shared" si="27"/>
        <v>314</v>
      </c>
      <c r="AG106" s="4">
        <f t="shared" si="36"/>
        <v>1.4185151661437698</v>
      </c>
      <c r="AH106" s="5">
        <f t="shared" si="37"/>
        <v>0.17759321711884782</v>
      </c>
      <c r="AI106" s="4">
        <f t="shared" si="30"/>
        <v>0.26296082876102839</v>
      </c>
      <c r="AJ106" s="4">
        <f t="shared" si="31"/>
        <v>0.19382281287728864</v>
      </c>
      <c r="AK106" s="14">
        <f t="shared" si="32"/>
        <v>31094.050727019512</v>
      </c>
      <c r="AL106" s="14">
        <f t="shared" si="33"/>
        <v>-4412.7551807634309</v>
      </c>
      <c r="AM106" s="15">
        <f t="shared" si="34"/>
        <v>1.0026296082876103</v>
      </c>
      <c r="AN106" s="15">
        <f t="shared" si="35"/>
        <v>1.001938228128773</v>
      </c>
    </row>
    <row r="107" spans="1:40" x14ac:dyDescent="0.2">
      <c r="A107">
        <v>158982</v>
      </c>
      <c r="B107">
        <v>1995</v>
      </c>
      <c r="C107">
        <v>256</v>
      </c>
      <c r="D107" t="s">
        <v>43</v>
      </c>
      <c r="E107" t="s">
        <v>45</v>
      </c>
      <c r="F107">
        <v>3413</v>
      </c>
      <c r="G107" s="1">
        <v>884.7</v>
      </c>
      <c r="H107">
        <v>504</v>
      </c>
      <c r="I107" s="2">
        <v>43418</v>
      </c>
      <c r="J107">
        <v>2056</v>
      </c>
      <c r="K107">
        <v>0</v>
      </c>
      <c r="L107" s="1">
        <v>97.9</v>
      </c>
      <c r="M107" s="1">
        <v>890</v>
      </c>
      <c r="N107" s="1">
        <v>114.2</v>
      </c>
      <c r="O107" s="3">
        <v>7.9810000000000002E-3</v>
      </c>
      <c r="P107" s="4">
        <v>1.0509999999999999</v>
      </c>
      <c r="Q107" s="4">
        <v>0.17100000000000001</v>
      </c>
      <c r="R107" s="1">
        <v>250</v>
      </c>
      <c r="S107" s="1">
        <v>792.9</v>
      </c>
      <c r="T107" s="1">
        <v>319.5</v>
      </c>
      <c r="U107" s="1">
        <v>473.4</v>
      </c>
      <c r="V107" s="1">
        <v>173.5</v>
      </c>
      <c r="W107" s="1">
        <v>192.7</v>
      </c>
      <c r="X107" s="1">
        <v>160.4</v>
      </c>
      <c r="Y107">
        <v>0.252</v>
      </c>
      <c r="Z107">
        <v>1.56</v>
      </c>
      <c r="AA107" s="4">
        <v>0.23799999999999999</v>
      </c>
      <c r="AB107" s="4">
        <v>0.60699999999999998</v>
      </c>
      <c r="AC107" s="4">
        <v>0.23899999999999999</v>
      </c>
      <c r="AD107" s="12">
        <v>42826.6</v>
      </c>
      <c r="AE107" s="1">
        <v>-10285.472</v>
      </c>
      <c r="AF107" s="16">
        <f t="shared" si="27"/>
        <v>314</v>
      </c>
      <c r="AG107" s="4">
        <f t="shared" si="36"/>
        <v>1.4185151661437698</v>
      </c>
      <c r="AH107" s="5">
        <f t="shared" si="37"/>
        <v>0.17759321711884782</v>
      </c>
      <c r="AI107" s="4">
        <f t="shared" si="30"/>
        <v>0.26296082876102839</v>
      </c>
      <c r="AJ107" s="4">
        <f t="shared" si="31"/>
        <v>0.19382281287728864</v>
      </c>
      <c r="AK107" s="14">
        <f t="shared" si="32"/>
        <v>42939.217182290166</v>
      </c>
      <c r="AL107" s="14">
        <f t="shared" si="33"/>
        <v>-10305.407591148107</v>
      </c>
      <c r="AM107" s="15">
        <f t="shared" si="34"/>
        <v>1.0026296082876103</v>
      </c>
      <c r="AN107" s="15">
        <f t="shared" si="35"/>
        <v>1.001938228128773</v>
      </c>
    </row>
    <row r="108" spans="1:40" x14ac:dyDescent="0.2">
      <c r="A108">
        <v>158983</v>
      </c>
      <c r="B108">
        <v>1993</v>
      </c>
      <c r="C108">
        <v>257</v>
      </c>
      <c r="D108" t="s">
        <v>43</v>
      </c>
      <c r="E108" t="s">
        <v>41</v>
      </c>
      <c r="F108">
        <v>3413</v>
      </c>
      <c r="G108" s="1">
        <v>298.7</v>
      </c>
      <c r="H108">
        <v>336</v>
      </c>
      <c r="I108" s="2">
        <v>43419</v>
      </c>
      <c r="J108">
        <v>2059</v>
      </c>
      <c r="K108">
        <v>0</v>
      </c>
      <c r="L108" s="1">
        <v>60.2</v>
      </c>
      <c r="M108" s="1">
        <v>940.8</v>
      </c>
      <c r="N108" s="1">
        <v>69.3</v>
      </c>
      <c r="O108" s="3">
        <v>2.3059999999999999E-3</v>
      </c>
      <c r="P108" s="4">
        <v>1.119</v>
      </c>
      <c r="Q108" s="4">
        <v>0.13100000000000001</v>
      </c>
      <c r="R108" s="1">
        <v>302</v>
      </c>
      <c r="S108" s="1">
        <v>242.4</v>
      </c>
      <c r="T108" s="1">
        <v>98.5</v>
      </c>
      <c r="U108" s="1">
        <v>144</v>
      </c>
      <c r="V108" s="1">
        <v>148.30000000000001</v>
      </c>
      <c r="W108" s="1">
        <v>197</v>
      </c>
      <c r="X108" s="1">
        <v>114.9</v>
      </c>
      <c r="Y108">
        <v>0.214</v>
      </c>
      <c r="Z108">
        <v>1.46</v>
      </c>
      <c r="AA108" s="4">
        <v>0.22</v>
      </c>
      <c r="AB108" s="4">
        <v>0.63400000000000001</v>
      </c>
      <c r="AC108" s="4">
        <v>0.22</v>
      </c>
      <c r="AD108" s="12">
        <v>31140.5</v>
      </c>
      <c r="AE108" s="1">
        <v>-4470.7924999999996</v>
      </c>
      <c r="AF108" s="16">
        <f t="shared" si="27"/>
        <v>315</v>
      </c>
      <c r="AG108" s="4">
        <f t="shared" si="36"/>
        <v>1.4606633281435948</v>
      </c>
      <c r="AH108" s="5">
        <f t="shared" si="37"/>
        <v>0.18287002195241464</v>
      </c>
      <c r="AI108" s="4">
        <f t="shared" si="30"/>
        <v>0.27304569985479626</v>
      </c>
      <c r="AJ108" s="4">
        <f t="shared" si="31"/>
        <v>0.20327277881348177</v>
      </c>
      <c r="AK108" s="14">
        <f t="shared" si="32"/>
        <v>31225.527796163286</v>
      </c>
      <c r="AL108" s="14">
        <f t="shared" si="33"/>
        <v>-4479.8804041497351</v>
      </c>
      <c r="AM108" s="15">
        <f t="shared" si="34"/>
        <v>1.002730456998548</v>
      </c>
      <c r="AN108" s="15">
        <f t="shared" si="35"/>
        <v>1.0020327277881349</v>
      </c>
    </row>
    <row r="109" spans="1:40" x14ac:dyDescent="0.2">
      <c r="A109">
        <v>158983</v>
      </c>
      <c r="B109">
        <v>1993</v>
      </c>
      <c r="C109">
        <v>257</v>
      </c>
      <c r="D109" t="s">
        <v>43</v>
      </c>
      <c r="E109" t="s">
        <v>42</v>
      </c>
      <c r="F109">
        <v>3413</v>
      </c>
      <c r="G109" s="1">
        <v>973.4</v>
      </c>
      <c r="H109">
        <v>504</v>
      </c>
      <c r="I109" s="2">
        <v>43419</v>
      </c>
      <c r="J109">
        <v>2061</v>
      </c>
      <c r="K109">
        <v>0</v>
      </c>
      <c r="L109" s="1">
        <v>96.1</v>
      </c>
      <c r="M109" s="1">
        <v>854.6</v>
      </c>
      <c r="N109" s="1">
        <v>119</v>
      </c>
      <c r="O109" s="3">
        <v>1.5108E-2</v>
      </c>
      <c r="P109" s="4">
        <v>1.0089999999999999</v>
      </c>
      <c r="Q109" s="4">
        <v>0.189</v>
      </c>
      <c r="R109" s="1">
        <v>281.7</v>
      </c>
      <c r="S109" s="1">
        <v>883.8</v>
      </c>
      <c r="T109" s="1">
        <v>355.9</v>
      </c>
      <c r="U109" s="1">
        <v>527.9</v>
      </c>
      <c r="V109" s="1">
        <v>221.4</v>
      </c>
      <c r="W109" s="1">
        <v>251.1</v>
      </c>
      <c r="X109" s="1">
        <v>201.6</v>
      </c>
      <c r="Y109">
        <v>0.32300000000000001</v>
      </c>
      <c r="Z109">
        <v>1.69</v>
      </c>
      <c r="AA109" s="4">
        <v>0.248</v>
      </c>
      <c r="AB109" s="4">
        <v>0.53</v>
      </c>
      <c r="AC109" s="4">
        <v>0.20300000000000001</v>
      </c>
      <c r="AD109" s="12">
        <v>58563.5</v>
      </c>
      <c r="AE109" s="1">
        <v>-15861.135</v>
      </c>
      <c r="AF109" s="16">
        <f t="shared" si="27"/>
        <v>315</v>
      </c>
      <c r="AG109" s="4">
        <f t="shared" si="36"/>
        <v>1.4606633281435948</v>
      </c>
      <c r="AH109" s="5">
        <f t="shared" si="37"/>
        <v>0.18287002195241464</v>
      </c>
      <c r="AI109" s="4">
        <f t="shared" si="30"/>
        <v>0.27304569985479626</v>
      </c>
      <c r="AJ109" s="4">
        <f t="shared" si="31"/>
        <v>0.20327277881348177</v>
      </c>
      <c r="AK109" s="14">
        <f t="shared" si="32"/>
        <v>58723.405118434464</v>
      </c>
      <c r="AL109" s="14">
        <f t="shared" si="33"/>
        <v>-15893.376369865859</v>
      </c>
      <c r="AM109" s="15">
        <f t="shared" si="34"/>
        <v>1.002730456998548</v>
      </c>
      <c r="AN109" s="15">
        <f t="shared" si="35"/>
        <v>1.0020327277881349</v>
      </c>
    </row>
    <row r="110" spans="1:40" x14ac:dyDescent="0.2">
      <c r="A110">
        <v>159011</v>
      </c>
      <c r="B110">
        <v>1998</v>
      </c>
      <c r="C110">
        <v>259</v>
      </c>
      <c r="D110" t="s">
        <v>43</v>
      </c>
      <c r="E110" t="s">
        <v>41</v>
      </c>
      <c r="F110">
        <v>3413</v>
      </c>
      <c r="G110" s="1">
        <v>284.10000000000002</v>
      </c>
      <c r="H110">
        <v>336</v>
      </c>
      <c r="I110" s="2">
        <v>43423</v>
      </c>
      <c r="J110">
        <v>2071</v>
      </c>
      <c r="K110">
        <v>0</v>
      </c>
      <c r="L110" s="1">
        <v>43.7</v>
      </c>
      <c r="M110" s="1">
        <v>870.9</v>
      </c>
      <c r="N110" s="1">
        <v>65.3</v>
      </c>
      <c r="O110" s="3">
        <v>2.0430000000000001E-3</v>
      </c>
      <c r="P110" s="4">
        <v>0.86499999999999999</v>
      </c>
      <c r="Q110" s="4">
        <v>0.14000000000000001</v>
      </c>
      <c r="R110" s="1">
        <v>279</v>
      </c>
      <c r="S110" s="1">
        <v>244.1</v>
      </c>
      <c r="T110" s="1">
        <v>99</v>
      </c>
      <c r="U110" s="1">
        <v>145.1</v>
      </c>
      <c r="V110" s="1">
        <v>177.9</v>
      </c>
      <c r="W110" s="1">
        <v>218.4</v>
      </c>
      <c r="X110" s="1">
        <v>150.19999999999999</v>
      </c>
      <c r="Y110">
        <v>0.26</v>
      </c>
      <c r="Z110">
        <v>1.6679999999999999</v>
      </c>
      <c r="AA110" s="4">
        <v>0.21099999999999999</v>
      </c>
      <c r="AB110" s="4">
        <v>0.53900000000000003</v>
      </c>
      <c r="AC110" s="4">
        <v>0.19400000000000001</v>
      </c>
      <c r="AD110" s="12">
        <v>25679.599999999999</v>
      </c>
      <c r="AE110" s="1">
        <v>-3797.5337</v>
      </c>
      <c r="AF110" s="16">
        <f t="shared" si="27"/>
        <v>319</v>
      </c>
      <c r="AG110" s="4">
        <f t="shared" si="36"/>
        <v>1.6421570744285323</v>
      </c>
      <c r="AH110" s="5">
        <f t="shared" si="37"/>
        <v>0.20559241439416534</v>
      </c>
      <c r="AI110" s="4">
        <f t="shared" si="30"/>
        <v>0.31647205461769695</v>
      </c>
      <c r="AJ110" s="4">
        <f t="shared" si="31"/>
        <v>0.24396517531779099</v>
      </c>
      <c r="AK110" s="14">
        <f t="shared" si="32"/>
        <v>25760.868757737604</v>
      </c>
      <c r="AL110" s="14">
        <f t="shared" si="33"/>
        <v>-3806.7983597489574</v>
      </c>
      <c r="AM110" s="15">
        <f t="shared" si="34"/>
        <v>1.0031647205461769</v>
      </c>
      <c r="AN110" s="15">
        <f t="shared" si="35"/>
        <v>1.002439651753178</v>
      </c>
    </row>
    <row r="111" spans="1:40" x14ac:dyDescent="0.2">
      <c r="A111">
        <v>159011</v>
      </c>
      <c r="B111">
        <v>1998</v>
      </c>
      <c r="C111">
        <v>259</v>
      </c>
      <c r="D111" t="s">
        <v>43</v>
      </c>
      <c r="E111" t="s">
        <v>42</v>
      </c>
      <c r="F111">
        <v>3413</v>
      </c>
      <c r="G111" s="1">
        <v>1031.3</v>
      </c>
      <c r="H111">
        <v>504</v>
      </c>
      <c r="I111" s="2">
        <v>43423</v>
      </c>
      <c r="J111">
        <v>2073</v>
      </c>
      <c r="K111">
        <v>0</v>
      </c>
      <c r="L111" s="1">
        <v>84.9</v>
      </c>
      <c r="M111" s="1">
        <v>820.3</v>
      </c>
      <c r="N111" s="1">
        <v>123.3</v>
      </c>
      <c r="O111" s="3">
        <v>9.9919999999999991E-3</v>
      </c>
      <c r="P111" s="4">
        <v>0.871</v>
      </c>
      <c r="Q111" s="4">
        <v>0.184</v>
      </c>
      <c r="R111" s="1">
        <v>254.4</v>
      </c>
      <c r="S111" s="1">
        <v>953</v>
      </c>
      <c r="T111" s="1">
        <v>383.6</v>
      </c>
      <c r="U111" s="1">
        <v>569.29999999999995</v>
      </c>
      <c r="V111" s="1">
        <v>206</v>
      </c>
      <c r="W111" s="1">
        <v>227</v>
      </c>
      <c r="X111" s="1">
        <v>191.8</v>
      </c>
      <c r="Y111">
        <v>0.30299999999999999</v>
      </c>
      <c r="Z111">
        <v>1.7709999999999999</v>
      </c>
      <c r="AA111" s="4">
        <v>0.23</v>
      </c>
      <c r="AB111" s="4">
        <v>0.51200000000000001</v>
      </c>
      <c r="AC111" s="4">
        <v>0.19700000000000001</v>
      </c>
      <c r="AD111" s="12">
        <v>50020.6</v>
      </c>
      <c r="AE111" s="1">
        <v>-13252.563</v>
      </c>
      <c r="AF111" s="16">
        <f t="shared" si="27"/>
        <v>319</v>
      </c>
      <c r="AG111" s="4">
        <f t="shared" si="36"/>
        <v>1.6421570744285323</v>
      </c>
      <c r="AH111" s="5">
        <f t="shared" si="37"/>
        <v>0.20559241439416534</v>
      </c>
      <c r="AI111" s="4">
        <f t="shared" si="30"/>
        <v>0.31647205461769695</v>
      </c>
      <c r="AJ111" s="4">
        <f t="shared" si="31"/>
        <v>0.24396517531779099</v>
      </c>
      <c r="AK111" s="14">
        <f t="shared" si="32"/>
        <v>50178.901220552092</v>
      </c>
      <c r="AL111" s="14">
        <f t="shared" si="33"/>
        <v>-13284.894638557051</v>
      </c>
      <c r="AM111" s="15">
        <f t="shared" si="34"/>
        <v>1.0031647205461769</v>
      </c>
      <c r="AN111" s="15">
        <f t="shared" si="35"/>
        <v>1.002439651753178</v>
      </c>
    </row>
    <row r="112" spans="1:40" x14ac:dyDescent="0.2">
      <c r="A112">
        <v>159013</v>
      </c>
      <c r="B112">
        <v>1986</v>
      </c>
      <c r="C112">
        <v>260</v>
      </c>
      <c r="D112" t="s">
        <v>43</v>
      </c>
      <c r="E112" t="s">
        <v>42</v>
      </c>
      <c r="F112">
        <v>3413</v>
      </c>
      <c r="G112">
        <v>858.6</v>
      </c>
      <c r="H112">
        <v>504</v>
      </c>
      <c r="I112" s="2">
        <v>43424</v>
      </c>
      <c r="J112">
        <v>2079</v>
      </c>
      <c r="K112">
        <v>0</v>
      </c>
      <c r="L112">
        <v>107.3</v>
      </c>
      <c r="M112">
        <v>860.3</v>
      </c>
      <c r="N112">
        <v>111.3</v>
      </c>
      <c r="O112">
        <v>1.5647000000000001E-2</v>
      </c>
      <c r="P112">
        <v>1.268</v>
      </c>
      <c r="Q112">
        <v>0.19</v>
      </c>
      <c r="R112">
        <v>304.8</v>
      </c>
      <c r="S112">
        <v>757.2</v>
      </c>
      <c r="T112">
        <v>305.2</v>
      </c>
      <c r="U112">
        <v>452</v>
      </c>
      <c r="V112">
        <v>228</v>
      </c>
      <c r="W112">
        <v>257.8</v>
      </c>
      <c r="X112">
        <v>207.8</v>
      </c>
      <c r="Y112">
        <v>0.33300000000000002</v>
      </c>
      <c r="Z112">
        <v>1.79</v>
      </c>
      <c r="AA112">
        <v>0.26500000000000001</v>
      </c>
      <c r="AB112">
        <v>0.51500000000000001</v>
      </c>
      <c r="AC112">
        <v>0.222</v>
      </c>
      <c r="AD112" s="12">
        <v>56847.3</v>
      </c>
      <c r="AE112" s="1">
        <v>-14877.425999999999</v>
      </c>
      <c r="AF112" s="16">
        <f t="shared" si="27"/>
        <v>320</v>
      </c>
      <c r="AG112" s="4">
        <f t="shared" si="36"/>
        <v>1.6909502802074525</v>
      </c>
      <c r="AH112" s="5">
        <f t="shared" si="37"/>
        <v>0.21170115584060131</v>
      </c>
      <c r="AI112" s="4">
        <f t="shared" si="30"/>
        <v>0.32814689800788199</v>
      </c>
      <c r="AJ112" s="4">
        <f t="shared" si="31"/>
        <v>0.25490501493714085</v>
      </c>
      <c r="AK112" s="14">
        <f t="shared" si="32"/>
        <v>57033.84265155124</v>
      </c>
      <c r="AL112" s="14">
        <f t="shared" si="33"/>
        <v>-14915.349304967562</v>
      </c>
      <c r="AM112" s="15">
        <f t="shared" si="34"/>
        <v>1.0032814689800789</v>
      </c>
      <c r="AN112" s="15">
        <f t="shared" si="35"/>
        <v>1.0025490501493715</v>
      </c>
    </row>
    <row r="113" spans="1:40" x14ac:dyDescent="0.2">
      <c r="A113">
        <v>159015</v>
      </c>
      <c r="B113">
        <v>1997</v>
      </c>
      <c r="C113">
        <v>261</v>
      </c>
      <c r="D113" t="s">
        <v>40</v>
      </c>
      <c r="E113" t="s">
        <v>41</v>
      </c>
      <c r="F113">
        <v>3413</v>
      </c>
      <c r="G113" s="1">
        <v>328.8</v>
      </c>
      <c r="H113">
        <v>336</v>
      </c>
      <c r="I113" s="2">
        <v>43425</v>
      </c>
      <c r="J113">
        <v>2082</v>
      </c>
      <c r="K113">
        <v>0</v>
      </c>
      <c r="L113" s="1">
        <v>74</v>
      </c>
      <c r="M113" s="1">
        <v>878.4</v>
      </c>
      <c r="N113" s="1">
        <v>73.8</v>
      </c>
      <c r="O113" s="3">
        <v>6.5329999999999997E-3</v>
      </c>
      <c r="P113" s="4">
        <v>1.306</v>
      </c>
      <c r="Q113" s="4">
        <v>0.17899999999999999</v>
      </c>
      <c r="R113" s="1">
        <v>374</v>
      </c>
      <c r="S113" s="1">
        <v>258.89999999999998</v>
      </c>
      <c r="T113" s="1">
        <v>105.1</v>
      </c>
      <c r="U113" s="1">
        <v>153.80000000000001</v>
      </c>
      <c r="V113" s="1">
        <v>233.2</v>
      </c>
      <c r="W113" s="1">
        <v>281.7</v>
      </c>
      <c r="X113" s="1">
        <v>200.1</v>
      </c>
      <c r="Y113">
        <v>0.34100000000000003</v>
      </c>
      <c r="Z113">
        <v>1.6819999999999999</v>
      </c>
      <c r="AA113" s="4">
        <v>0.247</v>
      </c>
      <c r="AB113" s="4">
        <v>0.51100000000000001</v>
      </c>
      <c r="AC113" s="4">
        <v>0.191</v>
      </c>
      <c r="AD113" s="12">
        <v>48298.7</v>
      </c>
      <c r="AE113" s="1">
        <v>-7663.5385999999999</v>
      </c>
      <c r="AF113" s="16">
        <f t="shared" si="27"/>
        <v>321</v>
      </c>
      <c r="AG113" s="4">
        <f t="shared" si="36"/>
        <v>1.7411932723480166</v>
      </c>
      <c r="AH113" s="5">
        <f t="shared" si="37"/>
        <v>0.2179914055502159</v>
      </c>
      <c r="AI113" s="4">
        <f t="shared" si="30"/>
        <v>0.34016863454540613</v>
      </c>
      <c r="AJ113" s="4">
        <f t="shared" si="31"/>
        <v>0.26616990862960416</v>
      </c>
      <c r="AK113" s="14">
        <f t="shared" si="32"/>
        <v>48462.997028293175</v>
      </c>
      <c r="AL113" s="14">
        <f t="shared" si="33"/>
        <v>-7683.9366336894136</v>
      </c>
      <c r="AM113" s="15">
        <f t="shared" si="34"/>
        <v>1.003401686345454</v>
      </c>
      <c r="AN113" s="15">
        <f t="shared" si="35"/>
        <v>1.002661699086296</v>
      </c>
    </row>
    <row r="114" spans="1:40" x14ac:dyDescent="0.2">
      <c r="A114">
        <v>159015</v>
      </c>
      <c r="B114">
        <v>1997</v>
      </c>
      <c r="C114">
        <v>261</v>
      </c>
      <c r="D114" t="s">
        <v>40</v>
      </c>
      <c r="E114" t="s">
        <v>42</v>
      </c>
      <c r="F114">
        <v>3413</v>
      </c>
      <c r="G114" s="1">
        <v>911.7</v>
      </c>
      <c r="H114">
        <v>504</v>
      </c>
      <c r="I114" s="2">
        <v>43425</v>
      </c>
      <c r="J114">
        <v>2083</v>
      </c>
      <c r="K114">
        <v>0</v>
      </c>
      <c r="L114" s="1">
        <v>182.9</v>
      </c>
      <c r="M114" s="1">
        <v>840.7</v>
      </c>
      <c r="N114" s="1">
        <v>119.5</v>
      </c>
      <c r="O114" s="3">
        <v>4.6398000000000002E-2</v>
      </c>
      <c r="P114" s="4">
        <v>2.0750000000000002</v>
      </c>
      <c r="Q114" s="4">
        <v>0.24</v>
      </c>
      <c r="R114" s="1">
        <v>390.4</v>
      </c>
      <c r="S114" s="1">
        <v>735.1</v>
      </c>
      <c r="T114" s="1">
        <v>296.3</v>
      </c>
      <c r="U114" s="1">
        <v>438.8</v>
      </c>
      <c r="V114" s="1">
        <v>279.60000000000002</v>
      </c>
      <c r="W114" s="1">
        <v>333</v>
      </c>
      <c r="X114" s="1">
        <v>243.6</v>
      </c>
      <c r="Y114">
        <v>0.4</v>
      </c>
      <c r="Z114">
        <v>1.7549999999999999</v>
      </c>
      <c r="AA114" s="4">
        <v>0.307</v>
      </c>
      <c r="AB114" s="4">
        <v>0.51200000000000001</v>
      </c>
      <c r="AC114" s="4">
        <v>0.222</v>
      </c>
      <c r="AD114" s="12">
        <v>88452.6</v>
      </c>
      <c r="AE114" s="1">
        <v>-22344.963</v>
      </c>
      <c r="AF114" s="16">
        <f t="shared" si="27"/>
        <v>321</v>
      </c>
      <c r="AG114" s="4">
        <f t="shared" si="36"/>
        <v>1.7411932723480166</v>
      </c>
      <c r="AH114" s="5">
        <f t="shared" si="37"/>
        <v>0.2179914055502159</v>
      </c>
      <c r="AI114" s="4">
        <f t="shared" si="30"/>
        <v>0.34016863454540613</v>
      </c>
      <c r="AJ114" s="4">
        <f t="shared" si="31"/>
        <v>0.26616990862960416</v>
      </c>
      <c r="AK114" s="14">
        <f t="shared" si="32"/>
        <v>88753.488001639911</v>
      </c>
      <c r="AL114" s="14">
        <f t="shared" si="33"/>
        <v>-22404.438567600417</v>
      </c>
      <c r="AM114" s="15">
        <f t="shared" si="34"/>
        <v>1.003401686345454</v>
      </c>
      <c r="AN114" s="15">
        <f t="shared" si="35"/>
        <v>1.002661699086296</v>
      </c>
    </row>
    <row r="115" spans="1:40" x14ac:dyDescent="0.2">
      <c r="A115">
        <v>159016</v>
      </c>
      <c r="B115">
        <v>1996</v>
      </c>
      <c r="C115">
        <v>262</v>
      </c>
      <c r="D115" t="s">
        <v>43</v>
      </c>
      <c r="E115" t="s">
        <v>41</v>
      </c>
      <c r="F115">
        <v>3413</v>
      </c>
      <c r="G115" s="1">
        <v>262.7</v>
      </c>
      <c r="H115">
        <v>336</v>
      </c>
      <c r="I115" s="2">
        <v>43425</v>
      </c>
      <c r="J115">
        <v>2086</v>
      </c>
      <c r="K115">
        <v>0</v>
      </c>
      <c r="L115" s="1">
        <v>55.7</v>
      </c>
      <c r="M115" s="1">
        <v>895</v>
      </c>
      <c r="N115" s="1">
        <v>64.900000000000006</v>
      </c>
      <c r="O115" s="3">
        <v>5.5830000000000003E-3</v>
      </c>
      <c r="P115" s="4">
        <v>1.0580000000000001</v>
      </c>
      <c r="Q115" s="4">
        <v>0.155</v>
      </c>
      <c r="R115" s="1">
        <v>317</v>
      </c>
      <c r="S115" s="1">
        <v>210.5</v>
      </c>
      <c r="T115" s="1">
        <v>85.5</v>
      </c>
      <c r="U115" s="1">
        <v>125</v>
      </c>
      <c r="V115" s="1">
        <v>168.5</v>
      </c>
      <c r="W115" s="1">
        <v>229.3</v>
      </c>
      <c r="X115" s="1">
        <v>127.1</v>
      </c>
      <c r="Y115">
        <v>0.24199999999999999</v>
      </c>
      <c r="Z115">
        <v>1.579</v>
      </c>
      <c r="AA115" s="4">
        <v>0.221</v>
      </c>
      <c r="AB115" s="4">
        <v>0.58099999999999996</v>
      </c>
      <c r="AC115" s="4">
        <v>0.20499999999999999</v>
      </c>
      <c r="AD115" s="12">
        <v>31724.799999999999</v>
      </c>
      <c r="AE115" s="1">
        <v>-4834.4106000000002</v>
      </c>
      <c r="AF115" s="16">
        <f t="shared" si="27"/>
        <v>321</v>
      </c>
      <c r="AG115" s="4">
        <f t="shared" si="36"/>
        <v>1.7411932723480166</v>
      </c>
      <c r="AH115" s="5">
        <f t="shared" si="37"/>
        <v>0.2179914055502159</v>
      </c>
      <c r="AI115" s="4">
        <f t="shared" si="30"/>
        <v>0.34016863454540613</v>
      </c>
      <c r="AJ115" s="4">
        <f t="shared" si="31"/>
        <v>0.26616990862960416</v>
      </c>
      <c r="AK115" s="14">
        <f t="shared" si="32"/>
        <v>31832.717818972258</v>
      </c>
      <c r="AL115" s="14">
        <f t="shared" si="33"/>
        <v>-4847.2783462768002</v>
      </c>
      <c r="AM115" s="15">
        <f t="shared" si="34"/>
        <v>1.003401686345454</v>
      </c>
      <c r="AN115" s="15">
        <f t="shared" si="35"/>
        <v>1.002661699086296</v>
      </c>
    </row>
    <row r="116" spans="1:40" x14ac:dyDescent="0.2">
      <c r="A116">
        <v>159016</v>
      </c>
      <c r="B116">
        <v>1996</v>
      </c>
      <c r="C116">
        <v>262</v>
      </c>
      <c r="D116" t="s">
        <v>43</v>
      </c>
      <c r="E116" t="s">
        <v>42</v>
      </c>
      <c r="F116">
        <v>3413</v>
      </c>
      <c r="G116" s="1">
        <v>784.3</v>
      </c>
      <c r="H116">
        <v>504</v>
      </c>
      <c r="I116" s="2">
        <v>43425</v>
      </c>
      <c r="J116">
        <v>2088</v>
      </c>
      <c r="K116">
        <v>0</v>
      </c>
      <c r="L116" s="1">
        <v>105.2</v>
      </c>
      <c r="M116" s="1">
        <v>852.4</v>
      </c>
      <c r="N116" s="1">
        <v>106.8</v>
      </c>
      <c r="O116" s="3">
        <v>2.0093E-2</v>
      </c>
      <c r="P116" s="4">
        <v>1.3340000000000001</v>
      </c>
      <c r="Q116" s="4">
        <v>0.20100000000000001</v>
      </c>
      <c r="R116" s="1">
        <v>321.2</v>
      </c>
      <c r="S116" s="1">
        <v>684.9</v>
      </c>
      <c r="T116" s="1">
        <v>276.10000000000002</v>
      </c>
      <c r="U116" s="1">
        <v>408.8</v>
      </c>
      <c r="V116" s="1">
        <v>241.7</v>
      </c>
      <c r="W116" s="1">
        <v>282.89999999999998</v>
      </c>
      <c r="X116" s="1">
        <v>213.7</v>
      </c>
      <c r="Y116">
        <v>0.34899999999999998</v>
      </c>
      <c r="Z116">
        <v>1.736</v>
      </c>
      <c r="AA116" s="4">
        <v>0.26400000000000001</v>
      </c>
      <c r="AB116" s="4">
        <v>0.52</v>
      </c>
      <c r="AC116" s="4">
        <v>0.221</v>
      </c>
      <c r="AD116" s="12">
        <v>61725.7</v>
      </c>
      <c r="AE116" s="1">
        <v>-15782.893</v>
      </c>
      <c r="AF116" s="16">
        <f t="shared" si="27"/>
        <v>321</v>
      </c>
      <c r="AG116" s="4">
        <f t="shared" si="36"/>
        <v>1.7411932723480166</v>
      </c>
      <c r="AH116" s="5">
        <f t="shared" si="37"/>
        <v>0.2179914055502159</v>
      </c>
      <c r="AI116" s="4">
        <f t="shared" si="30"/>
        <v>0.34016863454540613</v>
      </c>
      <c r="AJ116" s="4">
        <f t="shared" si="31"/>
        <v>0.26616990862960416</v>
      </c>
      <c r="AK116" s="14">
        <f t="shared" si="32"/>
        <v>61935.671470853587</v>
      </c>
      <c r="AL116" s="14">
        <f t="shared" si="33"/>
        <v>-15824.902311877207</v>
      </c>
      <c r="AM116" s="15">
        <f t="shared" si="34"/>
        <v>1.003401686345454</v>
      </c>
      <c r="AN116" s="15">
        <f t="shared" si="35"/>
        <v>1.002661699086296</v>
      </c>
    </row>
    <row r="117" spans="1:40" x14ac:dyDescent="0.2">
      <c r="A117">
        <v>159017</v>
      </c>
      <c r="B117">
        <v>1994</v>
      </c>
      <c r="C117">
        <v>263</v>
      </c>
      <c r="D117" t="s">
        <v>43</v>
      </c>
      <c r="E117" t="s">
        <v>41</v>
      </c>
      <c r="F117">
        <v>3413</v>
      </c>
      <c r="G117" s="1">
        <v>249.5</v>
      </c>
      <c r="H117">
        <v>336</v>
      </c>
      <c r="I117" s="2">
        <v>43426</v>
      </c>
      <c r="J117">
        <v>2089</v>
      </c>
      <c r="K117">
        <v>0</v>
      </c>
      <c r="L117" s="1">
        <v>59.9</v>
      </c>
      <c r="M117" s="1">
        <v>965.5</v>
      </c>
      <c r="N117" s="1">
        <v>62.1</v>
      </c>
      <c r="O117" s="3">
        <v>3.679E-3</v>
      </c>
      <c r="P117" s="4">
        <v>1.236</v>
      </c>
      <c r="Q117" s="4">
        <v>0.158</v>
      </c>
      <c r="R117" s="1">
        <v>351.5</v>
      </c>
      <c r="S117" s="1">
        <v>193</v>
      </c>
      <c r="T117" s="1">
        <v>78.5</v>
      </c>
      <c r="U117" s="1">
        <v>114.6</v>
      </c>
      <c r="V117" s="1">
        <v>165.4</v>
      </c>
      <c r="W117" s="1">
        <v>230.9</v>
      </c>
      <c r="X117" s="1">
        <v>120.7</v>
      </c>
      <c r="Y117">
        <v>0.24299999999999999</v>
      </c>
      <c r="Z117">
        <v>1.476</v>
      </c>
      <c r="AA117" s="4">
        <v>0.219</v>
      </c>
      <c r="AB117" s="4">
        <v>0.623</v>
      </c>
      <c r="AC117" s="4">
        <v>0.214</v>
      </c>
      <c r="AD117" s="12">
        <v>36465.300000000003</v>
      </c>
      <c r="AE117" s="1">
        <v>-5467.0020000000004</v>
      </c>
      <c r="AF117" s="16">
        <f t="shared" si="27"/>
        <v>322</v>
      </c>
      <c r="AG117" s="4">
        <f t="shared" si="36"/>
        <v>1.7929291281693078</v>
      </c>
      <c r="AH117" s="5">
        <f t="shared" si="37"/>
        <v>0.22446855665511201</v>
      </c>
      <c r="AI117" s="4">
        <f t="shared" si="30"/>
        <v>0.35254757142255039</v>
      </c>
      <c r="AJ117" s="4">
        <f t="shared" si="31"/>
        <v>0.27776951468580735</v>
      </c>
      <c r="AK117" s="14">
        <f t="shared" si="32"/>
        <v>36593.857529561952</v>
      </c>
      <c r="AL117" s="14">
        <f t="shared" si="33"/>
        <v>-5482.1876649232636</v>
      </c>
      <c r="AM117" s="15">
        <f t="shared" si="34"/>
        <v>1.0035254757142256</v>
      </c>
      <c r="AN117" s="15">
        <f t="shared" si="35"/>
        <v>1.0027776951468581</v>
      </c>
    </row>
    <row r="118" spans="1:40" x14ac:dyDescent="0.2">
      <c r="A118">
        <v>159017</v>
      </c>
      <c r="B118">
        <v>1994</v>
      </c>
      <c r="C118">
        <v>263</v>
      </c>
      <c r="D118" t="s">
        <v>43</v>
      </c>
      <c r="E118" t="s">
        <v>42</v>
      </c>
      <c r="F118">
        <v>3413</v>
      </c>
      <c r="G118" s="1">
        <v>733.2</v>
      </c>
      <c r="H118">
        <v>504</v>
      </c>
      <c r="I118" s="2">
        <v>43426</v>
      </c>
      <c r="J118">
        <v>2091</v>
      </c>
      <c r="K118">
        <v>0</v>
      </c>
      <c r="L118" s="1">
        <v>103.9</v>
      </c>
      <c r="M118" s="1">
        <v>884.8</v>
      </c>
      <c r="N118" s="1">
        <v>102.5</v>
      </c>
      <c r="O118" s="3">
        <v>2.0004000000000001E-2</v>
      </c>
      <c r="P118" s="4">
        <v>1.288</v>
      </c>
      <c r="Q118" s="4">
        <v>0.21</v>
      </c>
      <c r="R118" s="1">
        <v>343.2</v>
      </c>
      <c r="S118" s="1">
        <v>634.70000000000005</v>
      </c>
      <c r="T118" s="1">
        <v>255.9</v>
      </c>
      <c r="U118" s="1">
        <v>378.8</v>
      </c>
      <c r="V118" s="1">
        <v>256.5</v>
      </c>
      <c r="W118" s="1">
        <v>273.60000000000002</v>
      </c>
      <c r="X118" s="1">
        <v>244.8</v>
      </c>
      <c r="Y118">
        <v>0.36799999999999999</v>
      </c>
      <c r="Z118">
        <v>1.738</v>
      </c>
      <c r="AA118" s="4">
        <v>0.27600000000000002</v>
      </c>
      <c r="AB118" s="4">
        <v>0.51500000000000001</v>
      </c>
      <c r="AC118" s="4">
        <v>0.215</v>
      </c>
      <c r="AD118" s="12">
        <v>57041</v>
      </c>
      <c r="AE118" s="1">
        <v>-13987.109</v>
      </c>
      <c r="AF118" s="16">
        <f t="shared" si="27"/>
        <v>322</v>
      </c>
      <c r="AG118" s="4">
        <f t="shared" si="36"/>
        <v>1.7929291281693078</v>
      </c>
      <c r="AH118" s="5">
        <f t="shared" si="37"/>
        <v>0.22446855665511201</v>
      </c>
      <c r="AI118" s="4">
        <f t="shared" si="30"/>
        <v>0.35254757142255039</v>
      </c>
      <c r="AJ118" s="4">
        <f t="shared" si="31"/>
        <v>0.27776951468580735</v>
      </c>
      <c r="AK118" s="14">
        <f t="shared" si="32"/>
        <v>57242.096660215138</v>
      </c>
      <c r="AL118" s="14">
        <f t="shared" si="33"/>
        <v>-14025.960924787876</v>
      </c>
      <c r="AM118" s="15">
        <f t="shared" si="34"/>
        <v>1.0035254757142256</v>
      </c>
      <c r="AN118" s="15">
        <f t="shared" si="35"/>
        <v>1.0027776951468581</v>
      </c>
    </row>
    <row r="119" spans="1:40" x14ac:dyDescent="0.2">
      <c r="A119">
        <v>159018</v>
      </c>
      <c r="B119">
        <v>1996</v>
      </c>
      <c r="C119">
        <v>264</v>
      </c>
      <c r="D119" t="s">
        <v>40</v>
      </c>
      <c r="E119" t="s">
        <v>44</v>
      </c>
      <c r="F119">
        <v>3413</v>
      </c>
      <c r="G119">
        <v>347.1</v>
      </c>
      <c r="H119">
        <v>336</v>
      </c>
      <c r="I119" s="2">
        <v>43426</v>
      </c>
      <c r="J119">
        <v>2093</v>
      </c>
      <c r="K119">
        <v>0</v>
      </c>
      <c r="L119">
        <v>77.099999999999994</v>
      </c>
      <c r="M119">
        <v>915</v>
      </c>
      <c r="N119">
        <v>74.2</v>
      </c>
      <c r="O119">
        <v>2.1429999999999999E-3</v>
      </c>
      <c r="P119">
        <v>1.306</v>
      </c>
      <c r="Q119">
        <v>0.14799999999999999</v>
      </c>
      <c r="R119">
        <v>328.2</v>
      </c>
      <c r="S119">
        <v>274.10000000000002</v>
      </c>
      <c r="T119">
        <v>111.1</v>
      </c>
      <c r="U119">
        <v>162.9</v>
      </c>
      <c r="V119">
        <v>166.7</v>
      </c>
      <c r="W119">
        <v>217.6</v>
      </c>
      <c r="X119">
        <v>132.30000000000001</v>
      </c>
      <c r="Y119">
        <v>0.25</v>
      </c>
      <c r="Z119">
        <v>1.3680000000000001</v>
      </c>
      <c r="AA119">
        <v>0.245</v>
      </c>
      <c r="AB119">
        <v>0.67200000000000004</v>
      </c>
      <c r="AC119">
        <v>0.26800000000000002</v>
      </c>
      <c r="AD119" s="12">
        <v>40208.800000000003</v>
      </c>
      <c r="AE119" s="1">
        <v>-5764.3861999999999</v>
      </c>
      <c r="AF119" s="16">
        <f t="shared" si="27"/>
        <v>322</v>
      </c>
      <c r="AG119" s="4">
        <f t="shared" si="36"/>
        <v>1.7929291281693078</v>
      </c>
      <c r="AH119" s="5">
        <f t="shared" si="37"/>
        <v>0.22446855665511201</v>
      </c>
      <c r="AI119" s="4">
        <f t="shared" si="30"/>
        <v>0.35254757142255039</v>
      </c>
      <c r="AJ119" s="4">
        <f t="shared" si="31"/>
        <v>0.27776951468580735</v>
      </c>
      <c r="AK119" s="14">
        <f t="shared" si="32"/>
        <v>40350.555147898158</v>
      </c>
      <c r="AL119" s="14">
        <f t="shared" si="33"/>
        <v>-5780.3979075723555</v>
      </c>
      <c r="AM119" s="15">
        <f t="shared" si="34"/>
        <v>1.0035254757142256</v>
      </c>
      <c r="AN119" s="15">
        <f t="shared" si="35"/>
        <v>1.0027776951468581</v>
      </c>
    </row>
    <row r="120" spans="1:40" x14ac:dyDescent="0.2">
      <c r="A120">
        <v>159018</v>
      </c>
      <c r="B120">
        <v>1996</v>
      </c>
      <c r="C120">
        <v>264</v>
      </c>
      <c r="D120" t="s">
        <v>40</v>
      </c>
      <c r="E120" t="s">
        <v>45</v>
      </c>
      <c r="F120">
        <v>3413</v>
      </c>
      <c r="G120" s="1">
        <v>1325</v>
      </c>
      <c r="H120">
        <v>504</v>
      </c>
      <c r="I120" s="2">
        <v>43426</v>
      </c>
      <c r="J120">
        <v>2095</v>
      </c>
      <c r="K120">
        <v>0</v>
      </c>
      <c r="L120" s="1">
        <v>100.3</v>
      </c>
      <c r="M120" s="1">
        <v>825.9</v>
      </c>
      <c r="N120" s="1">
        <v>139.4</v>
      </c>
      <c r="O120" s="3">
        <v>1.0415000000000001E-2</v>
      </c>
      <c r="P120" s="4">
        <v>0.93700000000000006</v>
      </c>
      <c r="Q120" s="4">
        <v>0.20300000000000001</v>
      </c>
      <c r="R120" s="1">
        <v>230.5</v>
      </c>
      <c r="S120" s="1">
        <v>1232.2</v>
      </c>
      <c r="T120" s="1">
        <v>495.7</v>
      </c>
      <c r="U120" s="1">
        <v>736.4</v>
      </c>
      <c r="V120" s="1">
        <v>183.9</v>
      </c>
      <c r="W120" s="1">
        <v>210.5</v>
      </c>
      <c r="X120" s="1">
        <v>166</v>
      </c>
      <c r="Y120">
        <v>0.27500000000000002</v>
      </c>
      <c r="Z120">
        <v>1.405</v>
      </c>
      <c r="AA120" s="4">
        <v>0.251</v>
      </c>
      <c r="AB120" s="4">
        <v>0.66600000000000004</v>
      </c>
      <c r="AC120" s="4">
        <v>0.28599999999999998</v>
      </c>
      <c r="AD120" s="12">
        <v>55591.6</v>
      </c>
      <c r="AE120" s="1">
        <v>-14335.297</v>
      </c>
      <c r="AF120" s="16">
        <f t="shared" si="27"/>
        <v>322</v>
      </c>
      <c r="AG120" s="4">
        <f t="shared" si="36"/>
        <v>1.7929291281693078</v>
      </c>
      <c r="AH120" s="5">
        <f t="shared" si="37"/>
        <v>0.22446855665511201</v>
      </c>
      <c r="AI120" s="4">
        <f t="shared" si="30"/>
        <v>0.35254757142255039</v>
      </c>
      <c r="AJ120" s="4">
        <f t="shared" si="31"/>
        <v>0.27776951468580735</v>
      </c>
      <c r="AK120" s="14">
        <f t="shared" si="32"/>
        <v>55787.586835714937</v>
      </c>
      <c r="AL120" s="14">
        <f t="shared" si="33"/>
        <v>-14375.116084905671</v>
      </c>
      <c r="AM120" s="15">
        <f t="shared" si="34"/>
        <v>1.0035254757142256</v>
      </c>
      <c r="AN120" s="15">
        <f t="shared" si="35"/>
        <v>1.0027776951468581</v>
      </c>
    </row>
    <row r="121" spans="1:40" x14ac:dyDescent="0.2">
      <c r="A121">
        <v>159019</v>
      </c>
      <c r="B121">
        <v>1983</v>
      </c>
      <c r="C121">
        <v>266</v>
      </c>
      <c r="D121" t="s">
        <v>43</v>
      </c>
      <c r="E121" t="s">
        <v>41</v>
      </c>
      <c r="F121">
        <v>3413</v>
      </c>
      <c r="G121" s="1">
        <v>278.89999999999998</v>
      </c>
      <c r="H121">
        <v>336</v>
      </c>
      <c r="I121" s="2">
        <v>43427</v>
      </c>
      <c r="J121">
        <v>2104</v>
      </c>
      <c r="K121">
        <v>0</v>
      </c>
      <c r="L121" s="1">
        <v>65.900000000000006</v>
      </c>
      <c r="M121" s="1">
        <v>978.8</v>
      </c>
      <c r="N121" s="1">
        <v>67</v>
      </c>
      <c r="O121" s="3">
        <v>5.4349999999999997E-3</v>
      </c>
      <c r="P121" s="4">
        <v>1.2549999999999999</v>
      </c>
      <c r="Q121" s="4">
        <v>0.16400000000000001</v>
      </c>
      <c r="R121" s="1">
        <v>371.5</v>
      </c>
      <c r="S121" s="1">
        <v>216.6</v>
      </c>
      <c r="T121" s="1">
        <v>88</v>
      </c>
      <c r="U121" s="1">
        <v>128.6</v>
      </c>
      <c r="V121" s="1">
        <v>190.8</v>
      </c>
      <c r="W121" s="1">
        <v>242.4</v>
      </c>
      <c r="X121" s="1">
        <v>155.6</v>
      </c>
      <c r="Y121">
        <v>0.27600000000000002</v>
      </c>
      <c r="Z121">
        <v>1.4690000000000001</v>
      </c>
      <c r="AA121" s="4">
        <v>0.23899999999999999</v>
      </c>
      <c r="AB121" s="4">
        <v>0.59299999999999997</v>
      </c>
      <c r="AC121" s="4">
        <v>0.22</v>
      </c>
      <c r="AD121" s="12">
        <v>44931.1</v>
      </c>
      <c r="AE121" s="1">
        <v>-6596.7133999999996</v>
      </c>
      <c r="AF121" s="16">
        <f t="shared" si="27"/>
        <v>323</v>
      </c>
      <c r="AG121" s="4">
        <f t="shared" si="36"/>
        <v>1.8462022049413509</v>
      </c>
      <c r="AH121" s="5">
        <f t="shared" si="37"/>
        <v>0.23113816253284544</v>
      </c>
      <c r="AI121" s="4">
        <f t="shared" si="30"/>
        <v>0.36529432208789819</v>
      </c>
      <c r="AJ121" s="4">
        <f t="shared" si="31"/>
        <v>0.28971377837194628</v>
      </c>
      <c r="AK121" s="14">
        <f t="shared" si="32"/>
        <v>45095.230757151636</v>
      </c>
      <c r="AL121" s="14">
        <f t="shared" si="33"/>
        <v>-6615.8249876395084</v>
      </c>
      <c r="AM121" s="15">
        <f t="shared" si="34"/>
        <v>1.0036529432208789</v>
      </c>
      <c r="AN121" s="15">
        <f t="shared" si="35"/>
        <v>1.0028971377837195</v>
      </c>
    </row>
    <row r="122" spans="1:40" x14ac:dyDescent="0.2">
      <c r="A122">
        <v>159019</v>
      </c>
      <c r="B122">
        <v>1983</v>
      </c>
      <c r="C122">
        <v>266</v>
      </c>
      <c r="D122" t="s">
        <v>43</v>
      </c>
      <c r="E122" t="s">
        <v>42</v>
      </c>
      <c r="F122">
        <v>3413</v>
      </c>
      <c r="G122" s="1">
        <v>961.5</v>
      </c>
      <c r="H122">
        <v>504</v>
      </c>
      <c r="I122" s="2">
        <v>43427</v>
      </c>
      <c r="J122">
        <v>2106</v>
      </c>
      <c r="K122">
        <v>0</v>
      </c>
      <c r="L122" s="1">
        <v>100.3</v>
      </c>
      <c r="M122" s="1">
        <v>895</v>
      </c>
      <c r="N122" s="1">
        <v>118.3</v>
      </c>
      <c r="O122" s="3">
        <v>1.3585E-2</v>
      </c>
      <c r="P122" s="4">
        <v>1.135</v>
      </c>
      <c r="Q122" s="4">
        <v>0.22500000000000001</v>
      </c>
      <c r="R122" s="1">
        <v>298.89999999999998</v>
      </c>
      <c r="S122" s="1">
        <v>867.7</v>
      </c>
      <c r="T122" s="1">
        <v>349.3</v>
      </c>
      <c r="U122" s="1">
        <v>518.5</v>
      </c>
      <c r="V122" s="1">
        <v>232</v>
      </c>
      <c r="W122" s="1">
        <v>247.3</v>
      </c>
      <c r="X122" s="1">
        <v>221.8</v>
      </c>
      <c r="Y122">
        <v>0.33200000000000002</v>
      </c>
      <c r="Z122">
        <v>1.595</v>
      </c>
      <c r="AA122" s="4">
        <v>0.27400000000000002</v>
      </c>
      <c r="AB122" s="4">
        <v>0.55500000000000005</v>
      </c>
      <c r="AC122" s="4">
        <v>0.22700000000000001</v>
      </c>
      <c r="AD122" s="12">
        <v>62221.599999999999</v>
      </c>
      <c r="AE122" s="1">
        <v>-14773.083000000001</v>
      </c>
      <c r="AF122" s="16">
        <f t="shared" si="27"/>
        <v>323</v>
      </c>
      <c r="AG122" s="4">
        <f t="shared" si="36"/>
        <v>1.8462022049413509</v>
      </c>
      <c r="AH122" s="5">
        <f t="shared" si="37"/>
        <v>0.23113816253284544</v>
      </c>
      <c r="AI122" s="4">
        <f t="shared" si="30"/>
        <v>0.36529432208789819</v>
      </c>
      <c r="AJ122" s="4">
        <f t="shared" si="31"/>
        <v>0.28971377837194628</v>
      </c>
      <c r="AK122" s="14">
        <f t="shared" si="32"/>
        <v>62448.891971912242</v>
      </c>
      <c r="AL122" s="14">
        <f t="shared" si="33"/>
        <v>-14815.882656941325</v>
      </c>
      <c r="AM122" s="15">
        <f t="shared" si="34"/>
        <v>1.0036529432208789</v>
      </c>
      <c r="AN122" s="15">
        <f t="shared" si="35"/>
        <v>1.0028971377837195</v>
      </c>
    </row>
    <row r="123" spans="1:40" x14ac:dyDescent="0.2">
      <c r="A123">
        <v>159020</v>
      </c>
      <c r="B123">
        <v>1996</v>
      </c>
      <c r="C123">
        <v>267</v>
      </c>
      <c r="D123" t="s">
        <v>40</v>
      </c>
      <c r="E123" t="s">
        <v>44</v>
      </c>
      <c r="F123">
        <v>3413</v>
      </c>
      <c r="G123" s="1">
        <v>292.89999999999998</v>
      </c>
      <c r="H123">
        <v>336</v>
      </c>
      <c r="I123" s="2">
        <v>43427</v>
      </c>
      <c r="J123">
        <v>2107</v>
      </c>
      <c r="K123">
        <v>0</v>
      </c>
      <c r="L123" s="1">
        <v>96.5</v>
      </c>
      <c r="M123" s="1">
        <v>849.5</v>
      </c>
      <c r="N123" s="1">
        <v>69.900000000000006</v>
      </c>
      <c r="O123" s="3">
        <v>3.6178000000000002E-2</v>
      </c>
      <c r="P123" s="4">
        <v>1.895</v>
      </c>
      <c r="Q123" s="4">
        <v>0.22700000000000001</v>
      </c>
      <c r="R123" s="1">
        <v>487.8</v>
      </c>
      <c r="S123" s="1">
        <v>200</v>
      </c>
      <c r="T123" s="1">
        <v>81.3</v>
      </c>
      <c r="U123" s="1">
        <v>118.8</v>
      </c>
      <c r="V123" s="1">
        <v>314.89999999999998</v>
      </c>
      <c r="W123" s="1">
        <v>356.8</v>
      </c>
      <c r="X123" s="1">
        <v>286.2</v>
      </c>
      <c r="Y123">
        <v>0.47</v>
      </c>
      <c r="Z123">
        <v>2.0009999999999999</v>
      </c>
      <c r="AA123" s="4">
        <v>0.26400000000000001</v>
      </c>
      <c r="AB123" s="4">
        <v>0.39200000000000002</v>
      </c>
      <c r="AC123" s="4">
        <v>0.16600000000000001</v>
      </c>
      <c r="AD123" s="12">
        <v>71147.3</v>
      </c>
      <c r="AE123" s="1">
        <v>-11706.521000000001</v>
      </c>
      <c r="AF123" s="16">
        <f t="shared" si="27"/>
        <v>323</v>
      </c>
      <c r="AG123" s="4">
        <f t="shared" si="36"/>
        <v>1.8462022049413509</v>
      </c>
      <c r="AH123" s="5">
        <f t="shared" si="37"/>
        <v>0.23113816253284544</v>
      </c>
      <c r="AI123" s="4">
        <f t="shared" si="30"/>
        <v>0.36529432208789819</v>
      </c>
      <c r="AJ123" s="4">
        <f t="shared" si="31"/>
        <v>0.28971377837194628</v>
      </c>
      <c r="AK123" s="14">
        <f t="shared" si="32"/>
        <v>71407.19704721884</v>
      </c>
      <c r="AL123" s="14">
        <f t="shared" si="33"/>
        <v>-11740.436404305006</v>
      </c>
      <c r="AM123" s="15">
        <f t="shared" si="34"/>
        <v>1.0036529432208789</v>
      </c>
      <c r="AN123" s="15">
        <f t="shared" si="35"/>
        <v>1.0028971377837195</v>
      </c>
    </row>
    <row r="124" spans="1:40" x14ac:dyDescent="0.2">
      <c r="A124">
        <v>159020</v>
      </c>
      <c r="B124">
        <v>1996</v>
      </c>
      <c r="C124">
        <v>267</v>
      </c>
      <c r="D124" t="s">
        <v>40</v>
      </c>
      <c r="E124" t="s">
        <v>45</v>
      </c>
      <c r="F124">
        <v>3413</v>
      </c>
      <c r="G124" s="1">
        <v>968</v>
      </c>
      <c r="H124">
        <v>504</v>
      </c>
      <c r="I124" s="2">
        <v>43427</v>
      </c>
      <c r="J124">
        <v>2110</v>
      </c>
      <c r="K124">
        <v>0</v>
      </c>
      <c r="L124" s="1">
        <v>149.6</v>
      </c>
      <c r="M124" s="1">
        <v>828.5</v>
      </c>
      <c r="N124" s="1">
        <v>116.5</v>
      </c>
      <c r="O124" s="3">
        <v>3.6499999999999998E-2</v>
      </c>
      <c r="P124" s="4">
        <v>1.7150000000000001</v>
      </c>
      <c r="Q124" s="4">
        <v>0.22900000000000001</v>
      </c>
      <c r="R124" s="1">
        <v>383.6</v>
      </c>
      <c r="S124" s="1">
        <v>824.6</v>
      </c>
      <c r="T124" s="1">
        <v>332.1</v>
      </c>
      <c r="U124" s="1">
        <v>492.5</v>
      </c>
      <c r="V124" s="1">
        <v>304.10000000000002</v>
      </c>
      <c r="W124" s="1">
        <v>337</v>
      </c>
      <c r="X124" s="1">
        <v>282.10000000000002</v>
      </c>
      <c r="Y124">
        <v>0.44500000000000001</v>
      </c>
      <c r="Z124">
        <v>1.847</v>
      </c>
      <c r="AA124" s="4">
        <v>0.28399999999999997</v>
      </c>
      <c r="AB124" s="4">
        <v>0.46700000000000003</v>
      </c>
      <c r="AC124" s="4">
        <v>0.21299999999999999</v>
      </c>
      <c r="AD124" s="12">
        <v>102710.1</v>
      </c>
      <c r="AE124" s="1">
        <v>-28047.447</v>
      </c>
      <c r="AF124" s="16">
        <f t="shared" si="27"/>
        <v>323</v>
      </c>
      <c r="AG124" s="4">
        <f t="shared" si="36"/>
        <v>1.8462022049413509</v>
      </c>
      <c r="AH124" s="5">
        <f t="shared" si="37"/>
        <v>0.23113816253284544</v>
      </c>
      <c r="AI124" s="4">
        <f t="shared" si="30"/>
        <v>0.36529432208789819</v>
      </c>
      <c r="AJ124" s="4">
        <f t="shared" si="31"/>
        <v>0.28971377837194628</v>
      </c>
      <c r="AK124" s="14">
        <f t="shared" si="32"/>
        <v>103085.2941635108</v>
      </c>
      <c r="AL124" s="14">
        <f t="shared" si="33"/>
        <v>-28128.70431844057</v>
      </c>
      <c r="AM124" s="15">
        <f t="shared" si="34"/>
        <v>1.0036529432208789</v>
      </c>
      <c r="AN124" s="15">
        <f t="shared" si="35"/>
        <v>1.0028971377837195</v>
      </c>
    </row>
    <row r="125" spans="1:40" x14ac:dyDescent="0.2">
      <c r="A125">
        <v>159051</v>
      </c>
      <c r="B125">
        <v>1986</v>
      </c>
      <c r="C125">
        <v>270</v>
      </c>
      <c r="D125" t="s">
        <v>40</v>
      </c>
      <c r="E125" t="s">
        <v>44</v>
      </c>
      <c r="F125">
        <v>3413</v>
      </c>
      <c r="G125" s="1">
        <v>429.5</v>
      </c>
      <c r="H125">
        <v>336</v>
      </c>
      <c r="I125" s="2">
        <v>43431</v>
      </c>
      <c r="J125">
        <v>2125</v>
      </c>
      <c r="K125">
        <v>0</v>
      </c>
      <c r="L125" s="1">
        <v>79</v>
      </c>
      <c r="M125" s="1">
        <v>892.5</v>
      </c>
      <c r="N125" s="1">
        <v>87.3</v>
      </c>
      <c r="O125" s="3">
        <v>5.8650000000000004E-3</v>
      </c>
      <c r="P125" s="4">
        <v>1.103</v>
      </c>
      <c r="Q125" s="4">
        <v>0.151</v>
      </c>
      <c r="R125" s="1">
        <v>330.8</v>
      </c>
      <c r="S125" s="1">
        <v>355.2</v>
      </c>
      <c r="T125" s="1">
        <v>143.9</v>
      </c>
      <c r="U125" s="1">
        <v>211.3</v>
      </c>
      <c r="V125" s="1">
        <v>208.9</v>
      </c>
      <c r="W125" s="1">
        <v>255.9</v>
      </c>
      <c r="X125" s="1">
        <v>177</v>
      </c>
      <c r="Y125">
        <v>0.308</v>
      </c>
      <c r="Z125">
        <v>1.7649999999999999</v>
      </c>
      <c r="AA125" s="4">
        <v>0.23799999999999999</v>
      </c>
      <c r="AB125" s="4">
        <v>0.51200000000000001</v>
      </c>
      <c r="AC125" s="4">
        <v>0.20399999999999999</v>
      </c>
      <c r="AD125" s="12">
        <v>51641.2</v>
      </c>
      <c r="AE125" s="1">
        <v>-8585.6972999999998</v>
      </c>
      <c r="AF125" s="16">
        <f t="shared" si="27"/>
        <v>327</v>
      </c>
      <c r="AG125" s="4">
        <f t="shared" si="36"/>
        <v>2.0756008268675785</v>
      </c>
      <c r="AH125" s="5">
        <f t="shared" si="37"/>
        <v>0.25985808054490278</v>
      </c>
      <c r="AI125" s="4">
        <f t="shared" si="30"/>
        <v>0.42018296779500186</v>
      </c>
      <c r="AJ125" s="4">
        <f t="shared" si="31"/>
        <v>0.34114684354383917</v>
      </c>
      <c r="AK125" s="14">
        <f t="shared" si="32"/>
        <v>51858.187526764952</v>
      </c>
      <c r="AL125" s="14">
        <f t="shared" si="33"/>
        <v>-8614.9871353351791</v>
      </c>
      <c r="AM125" s="15">
        <f t="shared" si="34"/>
        <v>1.00420182967795</v>
      </c>
      <c r="AN125" s="15">
        <f t="shared" si="35"/>
        <v>1.0034114684354385</v>
      </c>
    </row>
    <row r="126" spans="1:40" x14ac:dyDescent="0.2">
      <c r="A126">
        <v>159051</v>
      </c>
      <c r="B126">
        <v>1986</v>
      </c>
      <c r="C126">
        <v>270</v>
      </c>
      <c r="D126" t="s">
        <v>40</v>
      </c>
      <c r="E126" t="s">
        <v>45</v>
      </c>
      <c r="F126">
        <v>3413</v>
      </c>
      <c r="G126" s="1">
        <v>1193</v>
      </c>
      <c r="H126">
        <v>504</v>
      </c>
      <c r="I126" s="2">
        <v>43431</v>
      </c>
      <c r="J126">
        <v>2127</v>
      </c>
      <c r="K126">
        <v>0</v>
      </c>
      <c r="L126" s="1">
        <v>135.30000000000001</v>
      </c>
      <c r="M126" s="1">
        <v>870.5</v>
      </c>
      <c r="N126" s="1">
        <v>132.6</v>
      </c>
      <c r="O126" s="3">
        <v>1.7488E-2</v>
      </c>
      <c r="P126" s="4">
        <v>1.2709999999999999</v>
      </c>
      <c r="Q126" s="4">
        <v>0.21</v>
      </c>
      <c r="R126" s="1">
        <v>308.7</v>
      </c>
      <c r="S126" s="1">
        <v>1064.5999999999999</v>
      </c>
      <c r="T126" s="1">
        <v>428.4</v>
      </c>
      <c r="U126" s="1">
        <v>636.29999999999995</v>
      </c>
      <c r="V126" s="1">
        <v>238.8</v>
      </c>
      <c r="W126" s="1">
        <v>255.9</v>
      </c>
      <c r="X126" s="1">
        <v>227.2</v>
      </c>
      <c r="Y126">
        <v>0.34699999999999998</v>
      </c>
      <c r="Z126">
        <v>1.696</v>
      </c>
      <c r="AA126" s="4">
        <v>0.27700000000000002</v>
      </c>
      <c r="AB126" s="4">
        <v>0.54200000000000004</v>
      </c>
      <c r="AC126" s="4">
        <v>0.245</v>
      </c>
      <c r="AD126" s="12">
        <v>78584.3</v>
      </c>
      <c r="AE126" s="1">
        <v>-20408.192999999999</v>
      </c>
      <c r="AF126" s="16">
        <f t="shared" si="27"/>
        <v>327</v>
      </c>
      <c r="AG126" s="4">
        <f t="shared" si="36"/>
        <v>2.0756008268675785</v>
      </c>
      <c r="AH126" s="5">
        <f t="shared" si="37"/>
        <v>0.25985808054490278</v>
      </c>
      <c r="AI126" s="4">
        <f t="shared" si="30"/>
        <v>0.42018296779500186</v>
      </c>
      <c r="AJ126" s="4">
        <f t="shared" si="31"/>
        <v>0.34114684354383917</v>
      </c>
      <c r="AK126" s="14">
        <f t="shared" si="32"/>
        <v>78914.497843960926</v>
      </c>
      <c r="AL126" s="14">
        <f t="shared" si="33"/>
        <v>-20477.814906243835</v>
      </c>
      <c r="AM126" s="15">
        <f t="shared" si="34"/>
        <v>1.00420182967795</v>
      </c>
      <c r="AN126" s="15">
        <f t="shared" si="35"/>
        <v>1.0034114684354385</v>
      </c>
    </row>
    <row r="127" spans="1:40" x14ac:dyDescent="0.2">
      <c r="A127">
        <v>159052</v>
      </c>
      <c r="B127">
        <v>1992</v>
      </c>
      <c r="C127">
        <v>271</v>
      </c>
      <c r="D127" t="s">
        <v>43</v>
      </c>
      <c r="E127" t="s">
        <v>41</v>
      </c>
      <c r="F127">
        <v>3413</v>
      </c>
      <c r="G127" s="1">
        <v>313.7</v>
      </c>
      <c r="H127">
        <v>336</v>
      </c>
      <c r="I127" s="2">
        <v>43431</v>
      </c>
      <c r="J127">
        <v>2130</v>
      </c>
      <c r="K127">
        <v>0</v>
      </c>
      <c r="L127" s="1">
        <v>64.8</v>
      </c>
      <c r="M127" s="1">
        <v>979.2</v>
      </c>
      <c r="N127" s="1">
        <v>70.400000000000006</v>
      </c>
      <c r="O127" s="3">
        <v>2.3089999999999999E-3</v>
      </c>
      <c r="P127" s="4">
        <v>1.1539999999999999</v>
      </c>
      <c r="Q127" s="4">
        <v>0.113</v>
      </c>
      <c r="R127" s="1">
        <v>315.39999999999998</v>
      </c>
      <c r="S127" s="1">
        <v>252.6</v>
      </c>
      <c r="T127" s="1">
        <v>102.4</v>
      </c>
      <c r="U127" s="1">
        <v>150.30000000000001</v>
      </c>
      <c r="V127" s="1">
        <v>149.4</v>
      </c>
      <c r="W127" s="1">
        <v>197.4</v>
      </c>
      <c r="X127" s="1">
        <v>116.7</v>
      </c>
      <c r="Y127">
        <v>0.218</v>
      </c>
      <c r="Z127">
        <v>1.401</v>
      </c>
      <c r="AA127" s="4">
        <v>0.22900000000000001</v>
      </c>
      <c r="AB127" s="4">
        <v>0.66100000000000003</v>
      </c>
      <c r="AC127" s="4">
        <v>0.247</v>
      </c>
      <c r="AD127" s="12">
        <v>33570.300000000003</v>
      </c>
      <c r="AE127" s="1">
        <v>-4227.6288999999997</v>
      </c>
      <c r="AF127" s="16">
        <f t="shared" si="27"/>
        <v>327</v>
      </c>
      <c r="AG127" s="4">
        <f t="shared" si="36"/>
        <v>2.0756008268675785</v>
      </c>
      <c r="AH127" s="5">
        <f t="shared" si="37"/>
        <v>0.25985808054490278</v>
      </c>
      <c r="AI127" s="4">
        <f t="shared" si="30"/>
        <v>0.42018296779500186</v>
      </c>
      <c r="AJ127" s="4">
        <f t="shared" si="31"/>
        <v>0.34114684354383917</v>
      </c>
      <c r="AK127" s="14">
        <f t="shared" si="32"/>
        <v>33711.356682837686</v>
      </c>
      <c r="AL127" s="14">
        <f t="shared" si="33"/>
        <v>-4242.0513225490977</v>
      </c>
      <c r="AM127" s="15">
        <f t="shared" si="34"/>
        <v>1.00420182967795</v>
      </c>
      <c r="AN127" s="15">
        <f t="shared" si="35"/>
        <v>1.0034114684354385</v>
      </c>
    </row>
    <row r="128" spans="1:40" x14ac:dyDescent="0.2">
      <c r="A128">
        <v>159052</v>
      </c>
      <c r="B128">
        <v>1992</v>
      </c>
      <c r="C128">
        <v>271</v>
      </c>
      <c r="D128" t="s">
        <v>43</v>
      </c>
      <c r="E128" t="s">
        <v>42</v>
      </c>
      <c r="F128">
        <v>3413</v>
      </c>
      <c r="G128" s="1">
        <v>987.2</v>
      </c>
      <c r="H128">
        <v>504</v>
      </c>
      <c r="I128" s="2">
        <v>43431</v>
      </c>
      <c r="J128">
        <v>2132</v>
      </c>
      <c r="K128">
        <v>0</v>
      </c>
      <c r="L128" s="1">
        <v>113</v>
      </c>
      <c r="M128" s="1">
        <v>933.7</v>
      </c>
      <c r="N128" s="1">
        <v>117.2</v>
      </c>
      <c r="O128" s="3">
        <v>1.1113E-2</v>
      </c>
      <c r="P128" s="4">
        <v>1.2230000000000001</v>
      </c>
      <c r="Q128" s="4">
        <v>0.21</v>
      </c>
      <c r="R128" s="1">
        <v>263</v>
      </c>
      <c r="S128" s="1">
        <v>880.5</v>
      </c>
      <c r="T128" s="1">
        <v>354.5</v>
      </c>
      <c r="U128" s="1">
        <v>526</v>
      </c>
      <c r="V128" s="1">
        <v>179.1</v>
      </c>
      <c r="W128" s="1">
        <v>212</v>
      </c>
      <c r="X128" s="1">
        <v>156.9</v>
      </c>
      <c r="Y128">
        <v>0.25900000000000001</v>
      </c>
      <c r="Z128">
        <v>1.454</v>
      </c>
      <c r="AA128" s="4">
        <v>0.25600000000000001</v>
      </c>
      <c r="AB128" s="4">
        <v>0.64600000000000002</v>
      </c>
      <c r="AC128" s="4">
        <v>0.27</v>
      </c>
      <c r="AD128" s="12">
        <v>54931</v>
      </c>
      <c r="AE128" s="1">
        <v>-12572.397000000001</v>
      </c>
      <c r="AF128" s="16">
        <f t="shared" si="27"/>
        <v>327</v>
      </c>
      <c r="AG128" s="4">
        <f t="shared" si="36"/>
        <v>2.0756008268675785</v>
      </c>
      <c r="AH128" s="5">
        <f t="shared" si="37"/>
        <v>0.25985808054490278</v>
      </c>
      <c r="AI128" s="4">
        <f t="shared" si="30"/>
        <v>0.42018296779500186</v>
      </c>
      <c r="AJ128" s="4">
        <f t="shared" si="31"/>
        <v>0.34114684354383917</v>
      </c>
      <c r="AK128" s="14">
        <f t="shared" si="32"/>
        <v>55161.810706039476</v>
      </c>
      <c r="AL128" s="14">
        <f t="shared" si="33"/>
        <v>-12615.287335523302</v>
      </c>
      <c r="AM128" s="15">
        <f t="shared" si="34"/>
        <v>1.00420182967795</v>
      </c>
      <c r="AN128" s="15">
        <f t="shared" si="35"/>
        <v>1.0034114684354385</v>
      </c>
    </row>
    <row r="129" spans="1:40" x14ac:dyDescent="0.2">
      <c r="A129">
        <v>159055</v>
      </c>
      <c r="B129">
        <v>1998</v>
      </c>
      <c r="C129">
        <v>273</v>
      </c>
      <c r="D129" t="s">
        <v>43</v>
      </c>
      <c r="E129" t="s">
        <v>44</v>
      </c>
      <c r="F129">
        <v>3413</v>
      </c>
      <c r="G129" s="1">
        <v>367.2</v>
      </c>
      <c r="H129">
        <v>336</v>
      </c>
      <c r="I129" s="2">
        <v>43432</v>
      </c>
      <c r="J129">
        <v>2141</v>
      </c>
      <c r="K129">
        <v>0</v>
      </c>
      <c r="L129" s="1">
        <v>59.5</v>
      </c>
      <c r="M129" s="1">
        <v>894.2</v>
      </c>
      <c r="N129" s="1">
        <v>74</v>
      </c>
      <c r="O129" s="3">
        <v>3.2109999999999999E-3</v>
      </c>
      <c r="P129" s="4">
        <v>1.0349999999999999</v>
      </c>
      <c r="Q129" s="4">
        <v>0.14899999999999999</v>
      </c>
      <c r="R129" s="1">
        <v>270.8</v>
      </c>
      <c r="S129" s="1">
        <v>311.8</v>
      </c>
      <c r="T129" s="1">
        <v>126.3</v>
      </c>
      <c r="U129" s="1">
        <v>185.5</v>
      </c>
      <c r="V129" s="1">
        <v>156.9</v>
      </c>
      <c r="W129" s="1">
        <v>208.2</v>
      </c>
      <c r="X129" s="1">
        <v>122.3</v>
      </c>
      <c r="Y129">
        <v>0.217</v>
      </c>
      <c r="Z129">
        <v>1.653</v>
      </c>
      <c r="AA129" s="4">
        <v>0.21299999999999999</v>
      </c>
      <c r="AB129" s="4">
        <v>0.57699999999999996</v>
      </c>
      <c r="AC129" s="4">
        <v>0.20100000000000001</v>
      </c>
      <c r="AD129" s="12">
        <v>28765.8</v>
      </c>
      <c r="AE129" s="1">
        <v>-3888.7516999999998</v>
      </c>
      <c r="AF129" s="16">
        <f t="shared" si="27"/>
        <v>328</v>
      </c>
      <c r="AG129" s="4">
        <f t="shared" si="36"/>
        <v>2.1372728921269202</v>
      </c>
      <c r="AH129" s="5">
        <f t="shared" si="37"/>
        <v>0.26757921087694181</v>
      </c>
      <c r="AI129" s="4">
        <f t="shared" si="30"/>
        <v>0.43493936045168491</v>
      </c>
      <c r="AJ129" s="4">
        <f t="shared" si="31"/>
        <v>0.35497422979897125</v>
      </c>
      <c r="AK129" s="14">
        <f t="shared" si="32"/>
        <v>28890.913786548812</v>
      </c>
      <c r="AL129" s="14">
        <f t="shared" si="33"/>
        <v>-3902.5557663958693</v>
      </c>
      <c r="AM129" s="15">
        <f t="shared" si="34"/>
        <v>1.0043493936045169</v>
      </c>
      <c r="AN129" s="15">
        <f t="shared" si="35"/>
        <v>1.0035497422979898</v>
      </c>
    </row>
    <row r="130" spans="1:40" x14ac:dyDescent="0.2">
      <c r="A130">
        <v>159055</v>
      </c>
      <c r="B130">
        <v>1998</v>
      </c>
      <c r="C130">
        <v>273</v>
      </c>
      <c r="D130" t="s">
        <v>43</v>
      </c>
      <c r="E130" t="s">
        <v>45</v>
      </c>
      <c r="F130">
        <v>3413</v>
      </c>
      <c r="G130" s="1">
        <v>1039.8</v>
      </c>
      <c r="H130">
        <v>504</v>
      </c>
      <c r="I130" s="2">
        <v>43432</v>
      </c>
      <c r="J130">
        <v>2143</v>
      </c>
      <c r="K130">
        <v>0</v>
      </c>
      <c r="L130" s="1">
        <v>102.8</v>
      </c>
      <c r="M130" s="1">
        <v>839.7</v>
      </c>
      <c r="N130" s="1">
        <v>121.1</v>
      </c>
      <c r="O130" s="3">
        <v>1.7187000000000001E-2</v>
      </c>
      <c r="P130" s="4">
        <v>1.081</v>
      </c>
      <c r="Q130" s="4">
        <v>0.193</v>
      </c>
      <c r="R130" s="1">
        <v>289.8</v>
      </c>
      <c r="S130" s="1">
        <v>943.6</v>
      </c>
      <c r="T130" s="1">
        <v>380</v>
      </c>
      <c r="U130" s="1">
        <v>563.6</v>
      </c>
      <c r="V130" s="1">
        <v>232.4</v>
      </c>
      <c r="W130" s="1">
        <v>265</v>
      </c>
      <c r="X130" s="1">
        <v>210.5</v>
      </c>
      <c r="Y130">
        <v>0.33600000000000002</v>
      </c>
      <c r="Z130">
        <v>1.613</v>
      </c>
      <c r="AA130" s="4">
        <v>0.27400000000000002</v>
      </c>
      <c r="AB130" s="4">
        <v>0.56200000000000006</v>
      </c>
      <c r="AC130" s="4">
        <v>0.24399999999999999</v>
      </c>
      <c r="AD130" s="12">
        <v>59460.7</v>
      </c>
      <c r="AE130" s="1">
        <v>-15203.537</v>
      </c>
      <c r="AF130" s="16">
        <f t="shared" si="27"/>
        <v>328</v>
      </c>
      <c r="AG130" s="4">
        <f t="shared" si="36"/>
        <v>2.1372728921269202</v>
      </c>
      <c r="AH130" s="5">
        <f t="shared" si="37"/>
        <v>0.26757921087694181</v>
      </c>
      <c r="AI130" s="4">
        <f t="shared" si="30"/>
        <v>0.43493936045168491</v>
      </c>
      <c r="AJ130" s="4">
        <f t="shared" si="31"/>
        <v>0.35497422979897125</v>
      </c>
      <c r="AK130" s="14">
        <f t="shared" si="32"/>
        <v>59719.317988300099</v>
      </c>
      <c r="AL130" s="14">
        <f t="shared" si="33"/>
        <v>-15257.505638367953</v>
      </c>
      <c r="AM130" s="15">
        <f t="shared" si="34"/>
        <v>1.0043493936045169</v>
      </c>
      <c r="AN130" s="15">
        <f t="shared" si="35"/>
        <v>1.0035497422979898</v>
      </c>
    </row>
    <row r="131" spans="1:40" x14ac:dyDescent="0.2">
      <c r="A131">
        <v>159056</v>
      </c>
      <c r="B131">
        <v>1996</v>
      </c>
      <c r="C131">
        <v>274</v>
      </c>
      <c r="D131" t="s">
        <v>40</v>
      </c>
      <c r="E131" t="s">
        <v>41</v>
      </c>
      <c r="F131">
        <v>3413</v>
      </c>
      <c r="G131" s="1">
        <v>378.6</v>
      </c>
      <c r="H131">
        <v>336</v>
      </c>
      <c r="I131" s="2">
        <v>43433</v>
      </c>
      <c r="J131">
        <v>2154</v>
      </c>
      <c r="K131">
        <v>0</v>
      </c>
      <c r="L131" s="1">
        <v>77.400000000000006</v>
      </c>
      <c r="M131" s="1">
        <v>885.6</v>
      </c>
      <c r="N131" s="1">
        <v>77.900000000000006</v>
      </c>
      <c r="O131" s="3">
        <v>4.4419999999999998E-3</v>
      </c>
      <c r="P131" s="4">
        <v>1.2569999999999999</v>
      </c>
      <c r="Q131" s="4">
        <v>0.16400000000000001</v>
      </c>
      <c r="R131" s="1">
        <v>330.5</v>
      </c>
      <c r="S131" s="1">
        <v>305.39999999999998</v>
      </c>
      <c r="T131" s="1">
        <v>123.7</v>
      </c>
      <c r="U131" s="1">
        <v>181.7</v>
      </c>
      <c r="V131" s="1">
        <v>193.1</v>
      </c>
      <c r="W131" s="1">
        <v>244.6</v>
      </c>
      <c r="X131" s="1">
        <v>158.1</v>
      </c>
      <c r="Y131">
        <v>0.28000000000000003</v>
      </c>
      <c r="Z131">
        <v>1.597</v>
      </c>
      <c r="AA131" s="4">
        <v>0.24099999999999999</v>
      </c>
      <c r="AB131" s="4">
        <v>0.56299999999999994</v>
      </c>
      <c r="AC131" s="4">
        <v>0.20799999999999999</v>
      </c>
      <c r="AD131" s="12">
        <v>46689.3</v>
      </c>
      <c r="AE131" s="1">
        <v>-7386.1782000000003</v>
      </c>
      <c r="AF131" s="16">
        <f t="shared" ref="AF131:AF162" si="38">I131-$AF$2</f>
        <v>329</v>
      </c>
      <c r="AG131" s="4">
        <f t="shared" si="36"/>
        <v>2.2007774116732901</v>
      </c>
      <c r="AH131" s="5">
        <f t="shared" si="37"/>
        <v>0.27552975817950309</v>
      </c>
      <c r="AI131" s="4">
        <f t="shared" ref="AI131:AI162" si="39">AH131*1.91117-0.07645</f>
        <v>0.45013420793992087</v>
      </c>
      <c r="AJ131" s="4">
        <f t="shared" ref="AJ131:AJ162" si="40">AH131*1.79085-0.12422</f>
        <v>0.36921246743576314</v>
      </c>
      <c r="AK131" s="14">
        <f t="shared" ref="AK131:AK162" si="41">AD131*(1+AI131/100)</f>
        <v>46899.46451074769</v>
      </c>
      <c r="AL131" s="14">
        <f t="shared" ref="AL131:AL162" si="42">AE131*(1+AJ131/100)</f>
        <v>-7413.4488907814221</v>
      </c>
      <c r="AM131" s="15">
        <f t="shared" ref="AM131:AM162" si="43">AK131/AD131</f>
        <v>1.0045013420793991</v>
      </c>
      <c r="AN131" s="15">
        <f t="shared" ref="AN131:AN162" si="44">AL131/AE131</f>
        <v>1.0036921246743575</v>
      </c>
    </row>
    <row r="132" spans="1:40" x14ac:dyDescent="0.2">
      <c r="A132">
        <v>159056</v>
      </c>
      <c r="B132">
        <v>1996</v>
      </c>
      <c r="C132">
        <v>274</v>
      </c>
      <c r="D132" t="s">
        <v>40</v>
      </c>
      <c r="E132" t="s">
        <v>42</v>
      </c>
      <c r="F132">
        <v>3413</v>
      </c>
      <c r="G132" s="1">
        <v>1258.8</v>
      </c>
      <c r="H132">
        <v>504</v>
      </c>
      <c r="I132" s="2">
        <v>43433</v>
      </c>
      <c r="J132">
        <v>2155</v>
      </c>
      <c r="K132">
        <v>0</v>
      </c>
      <c r="L132" s="1">
        <v>131.30000000000001</v>
      </c>
      <c r="M132" s="1">
        <v>867.8</v>
      </c>
      <c r="N132" s="1">
        <v>132.9</v>
      </c>
      <c r="O132" s="3">
        <v>1.6719999999999999E-2</v>
      </c>
      <c r="P132" s="4">
        <v>1.3120000000000001</v>
      </c>
      <c r="Q132" s="4">
        <v>0.188</v>
      </c>
      <c r="R132" s="1">
        <v>307.5</v>
      </c>
      <c r="S132" s="1">
        <v>1134.5999999999999</v>
      </c>
      <c r="T132" s="1">
        <v>456.4</v>
      </c>
      <c r="U132" s="1">
        <v>678.2</v>
      </c>
      <c r="V132" s="1">
        <v>244.9</v>
      </c>
      <c r="W132" s="1">
        <v>273.8</v>
      </c>
      <c r="X132" s="1">
        <v>225.5</v>
      </c>
      <c r="Y132">
        <v>0.35699999999999998</v>
      </c>
      <c r="Z132">
        <v>1.766</v>
      </c>
      <c r="AA132" s="4">
        <v>0.27300000000000002</v>
      </c>
      <c r="AB132" s="4">
        <v>0.51300000000000001</v>
      </c>
      <c r="AC132" s="4">
        <v>0.20499999999999999</v>
      </c>
      <c r="AD132" s="12">
        <v>84931</v>
      </c>
      <c r="AE132" s="1">
        <v>-22420.421999999999</v>
      </c>
      <c r="AF132" s="16">
        <f t="shared" si="38"/>
        <v>329</v>
      </c>
      <c r="AG132" s="4">
        <f t="shared" ref="AG132:AG163" si="45">0.0001442*EXP(0.02928*AF132)</f>
        <v>2.2007774116732901</v>
      </c>
      <c r="AH132" s="5">
        <f t="shared" ref="AH132:AH163" si="46">AG132/798.744*100</f>
        <v>0.27552975817950309</v>
      </c>
      <c r="AI132" s="4">
        <f t="shared" si="39"/>
        <v>0.45013420793992087</v>
      </c>
      <c r="AJ132" s="4">
        <f t="shared" si="40"/>
        <v>0.36921246743576314</v>
      </c>
      <c r="AK132" s="14">
        <f t="shared" si="41"/>
        <v>85313.30348414545</v>
      </c>
      <c r="AL132" s="14">
        <f t="shared" si="42"/>
        <v>-22503.200993275706</v>
      </c>
      <c r="AM132" s="15">
        <f t="shared" si="43"/>
        <v>1.0045013420793991</v>
      </c>
      <c r="AN132" s="15">
        <f t="shared" si="44"/>
        <v>1.0036921246743575</v>
      </c>
    </row>
    <row r="133" spans="1:40" x14ac:dyDescent="0.2">
      <c r="A133">
        <v>159057</v>
      </c>
      <c r="B133">
        <v>1998</v>
      </c>
      <c r="C133">
        <v>275</v>
      </c>
      <c r="D133" t="s">
        <v>40</v>
      </c>
      <c r="E133" t="s">
        <v>41</v>
      </c>
      <c r="F133">
        <v>3413</v>
      </c>
      <c r="G133" s="1">
        <v>357.1</v>
      </c>
      <c r="H133">
        <v>336</v>
      </c>
      <c r="I133" s="2">
        <v>43434</v>
      </c>
      <c r="J133">
        <v>2160</v>
      </c>
      <c r="K133">
        <v>0</v>
      </c>
      <c r="L133" s="1">
        <v>64.900000000000006</v>
      </c>
      <c r="M133" s="1">
        <v>904.8</v>
      </c>
      <c r="N133" s="1">
        <v>74.2</v>
      </c>
      <c r="O133" s="3">
        <v>1.4109999999999999E-3</v>
      </c>
      <c r="P133" s="4">
        <v>1.0920000000000001</v>
      </c>
      <c r="Q133" s="4">
        <v>0.125</v>
      </c>
      <c r="R133" s="1">
        <v>285.60000000000002</v>
      </c>
      <c r="S133" s="1">
        <v>296.39999999999998</v>
      </c>
      <c r="T133" s="1">
        <v>120.1</v>
      </c>
      <c r="U133" s="1">
        <v>176.3</v>
      </c>
      <c r="V133" s="1">
        <v>155.80000000000001</v>
      </c>
      <c r="W133" s="1">
        <v>194.7</v>
      </c>
      <c r="X133" s="1">
        <v>129</v>
      </c>
      <c r="Y133">
        <v>0.22600000000000001</v>
      </c>
      <c r="Z133">
        <v>1.5269999999999999</v>
      </c>
      <c r="AA133" s="4">
        <v>0.21199999999999999</v>
      </c>
      <c r="AB133" s="4">
        <v>0.60599999999999998</v>
      </c>
      <c r="AC133" s="4">
        <v>0.22900000000000001</v>
      </c>
      <c r="AD133" s="12">
        <v>33373.4</v>
      </c>
      <c r="AE133" s="1">
        <v>-4951.375</v>
      </c>
      <c r="AF133" s="16">
        <f t="shared" si="38"/>
        <v>330</v>
      </c>
      <c r="AG133" s="4">
        <f t="shared" si="45"/>
        <v>2.2661688329895142</v>
      </c>
      <c r="AH133" s="5">
        <f t="shared" si="46"/>
        <v>0.28371653909006067</v>
      </c>
      <c r="AI133" s="4">
        <f t="shared" si="39"/>
        <v>0.46578053801275121</v>
      </c>
      <c r="AJ133" s="4">
        <f t="shared" si="40"/>
        <v>0.38387376402943518</v>
      </c>
      <c r="AK133" s="14">
        <f t="shared" si="41"/>
        <v>33528.846802073153</v>
      </c>
      <c r="AL133" s="14">
        <f t="shared" si="42"/>
        <v>-4970.3820295837131</v>
      </c>
      <c r="AM133" s="15">
        <f t="shared" si="43"/>
        <v>1.0046578053801276</v>
      </c>
      <c r="AN133" s="15">
        <f t="shared" si="44"/>
        <v>1.0038387376402944</v>
      </c>
    </row>
    <row r="134" spans="1:40" x14ac:dyDescent="0.2">
      <c r="A134">
        <v>159057</v>
      </c>
      <c r="B134">
        <v>1998</v>
      </c>
      <c r="C134">
        <v>275</v>
      </c>
      <c r="D134" t="s">
        <v>40</v>
      </c>
      <c r="E134" t="s">
        <v>42</v>
      </c>
      <c r="F134">
        <v>3413</v>
      </c>
      <c r="G134" s="1">
        <v>1124.5</v>
      </c>
      <c r="H134">
        <v>504</v>
      </c>
      <c r="I134" s="2">
        <v>43434</v>
      </c>
      <c r="J134">
        <v>2162</v>
      </c>
      <c r="K134">
        <v>0</v>
      </c>
      <c r="L134" s="1">
        <v>115.3</v>
      </c>
      <c r="M134" s="1">
        <v>829.1</v>
      </c>
      <c r="N134" s="1">
        <v>126.5</v>
      </c>
      <c r="O134" s="3">
        <v>2.3047000000000002E-2</v>
      </c>
      <c r="P134" s="4">
        <v>1.43</v>
      </c>
      <c r="Q134" s="4">
        <v>0.245</v>
      </c>
      <c r="R134" s="1">
        <v>300.60000000000002</v>
      </c>
      <c r="S134" s="1">
        <v>1016.1</v>
      </c>
      <c r="T134" s="1">
        <v>409.1</v>
      </c>
      <c r="U134" s="1">
        <v>607.1</v>
      </c>
      <c r="V134" s="1">
        <v>242.8</v>
      </c>
      <c r="W134" s="1">
        <v>256.7</v>
      </c>
      <c r="X134" s="1">
        <v>233.6</v>
      </c>
      <c r="Y134">
        <v>0.35299999999999998</v>
      </c>
      <c r="Z134">
        <v>1.8120000000000001</v>
      </c>
      <c r="AA134" s="4">
        <v>0.26800000000000002</v>
      </c>
      <c r="AB134" s="4">
        <v>0.504</v>
      </c>
      <c r="AC134" s="4">
        <v>0.2</v>
      </c>
      <c r="AD134" s="12">
        <v>72928.800000000003</v>
      </c>
      <c r="AE134" s="1">
        <v>-18642.449000000001</v>
      </c>
      <c r="AF134" s="16">
        <f t="shared" si="38"/>
        <v>330</v>
      </c>
      <c r="AG134" s="4">
        <f t="shared" si="45"/>
        <v>2.2661688329895142</v>
      </c>
      <c r="AH134" s="5">
        <f t="shared" si="46"/>
        <v>0.28371653909006067</v>
      </c>
      <c r="AI134" s="4">
        <f t="shared" si="39"/>
        <v>0.46578053801275121</v>
      </c>
      <c r="AJ134" s="4">
        <f t="shared" si="40"/>
        <v>0.38387376402943518</v>
      </c>
      <c r="AK134" s="14">
        <f t="shared" si="41"/>
        <v>73268.488157006257</v>
      </c>
      <c r="AL134" s="14">
        <f t="shared" si="42"/>
        <v>-18714.01247068357</v>
      </c>
      <c r="AM134" s="15">
        <f t="shared" si="43"/>
        <v>1.0046578053801276</v>
      </c>
      <c r="AN134" s="15">
        <f t="shared" si="44"/>
        <v>1.0038387376402944</v>
      </c>
    </row>
    <row r="135" spans="1:40" x14ac:dyDescent="0.2">
      <c r="A135">
        <v>159058</v>
      </c>
      <c r="B135">
        <v>1996</v>
      </c>
      <c r="C135">
        <v>276</v>
      </c>
      <c r="D135" t="s">
        <v>43</v>
      </c>
      <c r="E135" t="s">
        <v>41</v>
      </c>
      <c r="F135">
        <v>3413</v>
      </c>
      <c r="G135" s="1">
        <v>286</v>
      </c>
      <c r="H135">
        <v>336</v>
      </c>
      <c r="I135" s="2">
        <v>43434</v>
      </c>
      <c r="J135">
        <v>2163</v>
      </c>
      <c r="K135">
        <v>0</v>
      </c>
      <c r="L135" s="1">
        <v>50.5</v>
      </c>
      <c r="M135" s="1">
        <v>919.1</v>
      </c>
      <c r="N135" s="1">
        <v>65.599999999999994</v>
      </c>
      <c r="O135" s="3">
        <v>3.3839999999999999E-3</v>
      </c>
      <c r="P135" s="4">
        <v>0.99</v>
      </c>
      <c r="Q135" s="4">
        <v>0.152</v>
      </c>
      <c r="R135" s="1">
        <v>266.89999999999998</v>
      </c>
      <c r="S135" s="1">
        <v>239.1</v>
      </c>
      <c r="T135" s="1">
        <v>97</v>
      </c>
      <c r="U135" s="1">
        <v>142.1</v>
      </c>
      <c r="V135" s="1">
        <v>135.30000000000001</v>
      </c>
      <c r="W135" s="1">
        <v>188.1</v>
      </c>
      <c r="X135" s="1">
        <v>99.3</v>
      </c>
      <c r="Y135">
        <v>0.19900000000000001</v>
      </c>
      <c r="Z135">
        <v>1.4219999999999999</v>
      </c>
      <c r="AA135" s="4">
        <v>0.21199999999999999</v>
      </c>
      <c r="AB135" s="4">
        <v>0.66100000000000003</v>
      </c>
      <c r="AC135" s="4">
        <v>0.25</v>
      </c>
      <c r="AD135" s="12">
        <v>25140.7</v>
      </c>
      <c r="AE135" s="1">
        <v>-3115.3235</v>
      </c>
      <c r="AF135" s="16">
        <f t="shared" si="38"/>
        <v>330</v>
      </c>
      <c r="AG135" s="4">
        <f t="shared" si="45"/>
        <v>2.2661688329895142</v>
      </c>
      <c r="AH135" s="5">
        <f t="shared" si="46"/>
        <v>0.28371653909006067</v>
      </c>
      <c r="AI135" s="4">
        <f t="shared" si="39"/>
        <v>0.46578053801275121</v>
      </c>
      <c r="AJ135" s="4">
        <f t="shared" si="40"/>
        <v>0.38387376402943518</v>
      </c>
      <c r="AK135" s="14">
        <f t="shared" si="41"/>
        <v>25257.800487720175</v>
      </c>
      <c r="AL135" s="14">
        <f t="shared" si="42"/>
        <v>-3127.2824095811438</v>
      </c>
      <c r="AM135" s="15">
        <f t="shared" si="43"/>
        <v>1.0046578053801276</v>
      </c>
      <c r="AN135" s="15">
        <f t="shared" si="44"/>
        <v>1.0038387376402944</v>
      </c>
    </row>
    <row r="136" spans="1:40" x14ac:dyDescent="0.2">
      <c r="A136">
        <v>159058</v>
      </c>
      <c r="B136">
        <v>1996</v>
      </c>
      <c r="C136">
        <v>276</v>
      </c>
      <c r="D136" t="s">
        <v>43</v>
      </c>
      <c r="E136" t="s">
        <v>42</v>
      </c>
      <c r="F136">
        <v>3413</v>
      </c>
      <c r="G136" s="1">
        <v>918.4</v>
      </c>
      <c r="H136">
        <v>504</v>
      </c>
      <c r="I136" s="2">
        <v>43434</v>
      </c>
      <c r="J136">
        <v>2165</v>
      </c>
      <c r="K136">
        <v>0</v>
      </c>
      <c r="L136" s="1">
        <v>112.6</v>
      </c>
      <c r="M136" s="1">
        <v>890.8</v>
      </c>
      <c r="N136" s="1">
        <v>113.8</v>
      </c>
      <c r="O136" s="3">
        <v>1.6641E-2</v>
      </c>
      <c r="P136" s="4">
        <v>1.2769999999999999</v>
      </c>
      <c r="Q136" s="4">
        <v>0.187</v>
      </c>
      <c r="R136" s="1">
        <v>283.89999999999998</v>
      </c>
      <c r="S136" s="1">
        <v>812</v>
      </c>
      <c r="T136" s="1">
        <v>327</v>
      </c>
      <c r="U136" s="1">
        <v>484.9</v>
      </c>
      <c r="V136" s="1">
        <v>202.6</v>
      </c>
      <c r="W136" s="1">
        <v>244.9</v>
      </c>
      <c r="X136" s="1">
        <v>174.1</v>
      </c>
      <c r="Y136">
        <v>0.29399999999999998</v>
      </c>
      <c r="Z136">
        <v>1.5489999999999999</v>
      </c>
      <c r="AA136" s="4">
        <v>0.251</v>
      </c>
      <c r="AB136" s="4">
        <v>0.58899999999999997</v>
      </c>
      <c r="AC136" s="4">
        <v>0.25900000000000001</v>
      </c>
      <c r="AD136" s="12">
        <v>60012.9</v>
      </c>
      <c r="AE136" s="1">
        <v>-15131.641</v>
      </c>
      <c r="AF136" s="16">
        <f t="shared" si="38"/>
        <v>330</v>
      </c>
      <c r="AG136" s="4">
        <f t="shared" si="45"/>
        <v>2.2661688329895142</v>
      </c>
      <c r="AH136" s="5">
        <f t="shared" si="46"/>
        <v>0.28371653909006067</v>
      </c>
      <c r="AI136" s="4">
        <f t="shared" si="39"/>
        <v>0.46578053801275121</v>
      </c>
      <c r="AJ136" s="4">
        <f t="shared" si="40"/>
        <v>0.38387376402943518</v>
      </c>
      <c r="AK136" s="14">
        <f t="shared" si="41"/>
        <v>60292.428408497064</v>
      </c>
      <c r="AL136" s="14">
        <f t="shared" si="42"/>
        <v>-15189.727399866122</v>
      </c>
      <c r="AM136" s="15">
        <f t="shared" si="43"/>
        <v>1.0046578053801276</v>
      </c>
      <c r="AN136" s="15">
        <f t="shared" si="44"/>
        <v>1.0038387376402944</v>
      </c>
    </row>
    <row r="137" spans="1:40" x14ac:dyDescent="0.2">
      <c r="A137">
        <v>159094</v>
      </c>
      <c r="B137">
        <v>1993</v>
      </c>
      <c r="C137">
        <v>277</v>
      </c>
      <c r="D137" t="s">
        <v>40</v>
      </c>
      <c r="E137" t="s">
        <v>44</v>
      </c>
      <c r="F137">
        <v>3413</v>
      </c>
      <c r="G137" s="1">
        <v>384.9</v>
      </c>
      <c r="H137">
        <v>336</v>
      </c>
      <c r="I137" s="2">
        <v>43437</v>
      </c>
      <c r="J137">
        <v>2167</v>
      </c>
      <c r="K137">
        <v>0</v>
      </c>
      <c r="L137" s="1">
        <v>72.099999999999994</v>
      </c>
      <c r="M137" s="1">
        <v>886.9</v>
      </c>
      <c r="N137" s="1">
        <v>77.099999999999994</v>
      </c>
      <c r="O137" s="3">
        <v>5.9810000000000002E-3</v>
      </c>
      <c r="P137" s="4">
        <v>1.2250000000000001</v>
      </c>
      <c r="Q137" s="4">
        <v>0.17299999999999999</v>
      </c>
      <c r="R137" s="1">
        <v>352.2</v>
      </c>
      <c r="S137" s="1">
        <v>317.10000000000002</v>
      </c>
      <c r="T137" s="1">
        <v>128.4</v>
      </c>
      <c r="U137" s="1">
        <v>188.6</v>
      </c>
      <c r="V137" s="1">
        <v>234.5</v>
      </c>
      <c r="W137" s="1">
        <v>278.7</v>
      </c>
      <c r="X137" s="1">
        <v>204.5</v>
      </c>
      <c r="Y137">
        <v>0.34300000000000003</v>
      </c>
      <c r="Z137">
        <v>1.82</v>
      </c>
      <c r="AA137" s="4">
        <v>0.24199999999999999</v>
      </c>
      <c r="AB137" s="4">
        <v>0.47499999999999998</v>
      </c>
      <c r="AC137" s="4">
        <v>0.186</v>
      </c>
      <c r="AD137" s="12">
        <v>52469.599999999999</v>
      </c>
      <c r="AE137" s="1">
        <v>-8655.9395000000004</v>
      </c>
      <c r="AF137" s="16">
        <f t="shared" si="38"/>
        <v>333</v>
      </c>
      <c r="AG137" s="4">
        <f t="shared" si="45"/>
        <v>2.4742335390969172</v>
      </c>
      <c r="AH137" s="5">
        <f t="shared" si="46"/>
        <v>0.30976552426020315</v>
      </c>
      <c r="AI137" s="4">
        <f t="shared" si="39"/>
        <v>0.5155645770003725</v>
      </c>
      <c r="AJ137" s="4">
        <f t="shared" si="40"/>
        <v>0.43052358912138489</v>
      </c>
      <c r="AK137" s="14">
        <f t="shared" si="41"/>
        <v>52740.114671293784</v>
      </c>
      <c r="AL137" s="14">
        <f t="shared" si="42"/>
        <v>-8693.2053614075758</v>
      </c>
      <c r="AM137" s="15">
        <f t="shared" si="43"/>
        <v>1.0051556457700037</v>
      </c>
      <c r="AN137" s="15">
        <f t="shared" si="44"/>
        <v>1.0043052358912139</v>
      </c>
    </row>
    <row r="138" spans="1:40" x14ac:dyDescent="0.2">
      <c r="A138">
        <v>159094</v>
      </c>
      <c r="B138">
        <v>1993</v>
      </c>
      <c r="C138">
        <v>277</v>
      </c>
      <c r="D138" t="s">
        <v>40</v>
      </c>
      <c r="E138" t="s">
        <v>45</v>
      </c>
      <c r="F138">
        <v>3413</v>
      </c>
      <c r="G138" s="1">
        <v>1174.7</v>
      </c>
      <c r="H138">
        <v>504</v>
      </c>
      <c r="I138" s="2">
        <v>43437</v>
      </c>
      <c r="J138">
        <v>2169</v>
      </c>
      <c r="K138">
        <v>0</v>
      </c>
      <c r="L138" s="1">
        <v>109.4</v>
      </c>
      <c r="M138" s="1">
        <v>799.9</v>
      </c>
      <c r="N138" s="1">
        <v>127.4</v>
      </c>
      <c r="O138" s="3">
        <v>2.0846E-2</v>
      </c>
      <c r="P138" s="4">
        <v>1.1619999999999999</v>
      </c>
      <c r="Q138" s="4">
        <v>0.19600000000000001</v>
      </c>
      <c r="R138" s="1">
        <v>286.2</v>
      </c>
      <c r="S138" s="1">
        <v>1072.2</v>
      </c>
      <c r="T138" s="1">
        <v>431.4</v>
      </c>
      <c r="U138" s="1">
        <v>640.79999999999995</v>
      </c>
      <c r="V138" s="1">
        <v>236.1</v>
      </c>
      <c r="W138" s="1">
        <v>266.7</v>
      </c>
      <c r="X138" s="1">
        <v>215.5</v>
      </c>
      <c r="Y138">
        <v>0.34599999999999997</v>
      </c>
      <c r="Z138">
        <v>1.702</v>
      </c>
      <c r="AA138" s="4">
        <v>0.26300000000000001</v>
      </c>
      <c r="AB138" s="4">
        <v>0.53300000000000003</v>
      </c>
      <c r="AC138" s="4">
        <v>0.22600000000000001</v>
      </c>
      <c r="AD138" s="12">
        <v>70032.7</v>
      </c>
      <c r="AE138" s="1">
        <v>-18564.296999999999</v>
      </c>
      <c r="AF138" s="16">
        <f t="shared" si="38"/>
        <v>333</v>
      </c>
      <c r="AG138" s="4">
        <f t="shared" si="45"/>
        <v>2.4742335390969172</v>
      </c>
      <c r="AH138" s="5">
        <f t="shared" si="46"/>
        <v>0.30976552426020315</v>
      </c>
      <c r="AI138" s="4">
        <f t="shared" si="39"/>
        <v>0.5155645770003725</v>
      </c>
      <c r="AJ138" s="4">
        <f t="shared" si="40"/>
        <v>0.43052358912138489</v>
      </c>
      <c r="AK138" s="14">
        <f t="shared" si="41"/>
        <v>70393.763793516933</v>
      </c>
      <c r="AL138" s="14">
        <f t="shared" si="42"/>
        <v>-18644.220677739555</v>
      </c>
      <c r="AM138" s="15">
        <f t="shared" si="43"/>
        <v>1.0051556457700037</v>
      </c>
      <c r="AN138" s="15">
        <f t="shared" si="44"/>
        <v>1.0043052358912139</v>
      </c>
    </row>
    <row r="139" spans="1:40" x14ac:dyDescent="0.2">
      <c r="A139">
        <v>159095</v>
      </c>
      <c r="B139">
        <v>1993</v>
      </c>
      <c r="C139">
        <v>278</v>
      </c>
      <c r="D139" t="s">
        <v>43</v>
      </c>
      <c r="E139" t="s">
        <v>41</v>
      </c>
      <c r="F139">
        <v>3413</v>
      </c>
      <c r="G139" s="1">
        <v>312.7</v>
      </c>
      <c r="H139">
        <v>336</v>
      </c>
      <c r="I139" s="2">
        <v>43438</v>
      </c>
      <c r="J139">
        <v>2172</v>
      </c>
      <c r="K139">
        <v>0</v>
      </c>
      <c r="L139" s="1">
        <v>55.5</v>
      </c>
      <c r="M139" s="1">
        <v>910.2</v>
      </c>
      <c r="N139" s="1">
        <v>69.7</v>
      </c>
      <c r="O139" s="3">
        <v>4.522E-3</v>
      </c>
      <c r="P139" s="4">
        <v>1.006</v>
      </c>
      <c r="Q139" s="4">
        <v>0.14199999999999999</v>
      </c>
      <c r="R139" s="1">
        <v>292.3</v>
      </c>
      <c r="S139" s="1">
        <v>261.10000000000002</v>
      </c>
      <c r="T139" s="1">
        <v>105.9</v>
      </c>
      <c r="U139" s="1">
        <v>155.19999999999999</v>
      </c>
      <c r="V139" s="1">
        <v>166.6</v>
      </c>
      <c r="W139" s="1">
        <v>218.7</v>
      </c>
      <c r="X139" s="1">
        <v>130.9</v>
      </c>
      <c r="Y139">
        <v>0.245</v>
      </c>
      <c r="Z139">
        <v>1.4359999999999999</v>
      </c>
      <c r="AA139" s="4">
        <v>0.22600000000000001</v>
      </c>
      <c r="AB139" s="4">
        <v>0.63600000000000001</v>
      </c>
      <c r="AC139" s="4">
        <v>0.26500000000000001</v>
      </c>
      <c r="AD139" s="12">
        <v>29948.3</v>
      </c>
      <c r="AE139" s="1">
        <v>-4512.0815000000002</v>
      </c>
      <c r="AF139" s="16">
        <f t="shared" si="38"/>
        <v>334</v>
      </c>
      <c r="AG139" s="4">
        <f t="shared" si="45"/>
        <v>2.5477501277949104</v>
      </c>
      <c r="AH139" s="5">
        <f t="shared" si="46"/>
        <v>0.31896954816498285</v>
      </c>
      <c r="AI139" s="4">
        <f t="shared" si="39"/>
        <v>0.53315503136647024</v>
      </c>
      <c r="AJ139" s="4">
        <f t="shared" si="40"/>
        <v>0.44700661533125952</v>
      </c>
      <c r="AK139" s="14">
        <f t="shared" si="41"/>
        <v>30107.970868258722</v>
      </c>
      <c r="AL139" s="14">
        <f t="shared" si="42"/>
        <v>-4532.2508027941385</v>
      </c>
      <c r="AM139" s="15">
        <f t="shared" si="43"/>
        <v>1.0053315503136646</v>
      </c>
      <c r="AN139" s="15">
        <f t="shared" si="44"/>
        <v>1.0044700661533126</v>
      </c>
    </row>
    <row r="140" spans="1:40" x14ac:dyDescent="0.2">
      <c r="A140">
        <v>159095</v>
      </c>
      <c r="B140">
        <v>1993</v>
      </c>
      <c r="C140">
        <v>278</v>
      </c>
      <c r="D140" t="s">
        <v>43</v>
      </c>
      <c r="E140" t="s">
        <v>42</v>
      </c>
      <c r="F140">
        <v>3413</v>
      </c>
      <c r="G140" s="1">
        <v>936.1</v>
      </c>
      <c r="H140">
        <v>504</v>
      </c>
      <c r="I140" s="2">
        <v>43438</v>
      </c>
      <c r="J140">
        <v>2174</v>
      </c>
      <c r="K140">
        <v>0</v>
      </c>
      <c r="L140" s="1">
        <v>93.9</v>
      </c>
      <c r="M140" s="1">
        <v>859.4</v>
      </c>
      <c r="N140" s="1">
        <v>114.4</v>
      </c>
      <c r="O140" s="3">
        <v>1.4186000000000001E-2</v>
      </c>
      <c r="P140" s="4">
        <v>1.073</v>
      </c>
      <c r="Q140" s="4">
        <v>0.183</v>
      </c>
      <c r="R140" s="1">
        <v>277.10000000000002</v>
      </c>
      <c r="S140" s="1">
        <v>848.3</v>
      </c>
      <c r="T140" s="1">
        <v>341.6</v>
      </c>
      <c r="U140" s="1">
        <v>506.7</v>
      </c>
      <c r="V140" s="1">
        <v>215.3</v>
      </c>
      <c r="W140" s="1">
        <v>233.2</v>
      </c>
      <c r="X140" s="1">
        <v>203.1</v>
      </c>
      <c r="Y140">
        <v>0.313</v>
      </c>
      <c r="Z140">
        <v>1.5569999999999999</v>
      </c>
      <c r="AA140" s="4">
        <v>0.26200000000000001</v>
      </c>
      <c r="AB140" s="4">
        <v>0.58499999999999996</v>
      </c>
      <c r="AC140" s="4">
        <v>0.24099999999999999</v>
      </c>
      <c r="AD140" s="12">
        <v>53202.8</v>
      </c>
      <c r="AE140" s="1">
        <v>-13138.947</v>
      </c>
      <c r="AF140" s="16">
        <f t="shared" si="38"/>
        <v>334</v>
      </c>
      <c r="AG140" s="4">
        <f t="shared" si="45"/>
        <v>2.5477501277949104</v>
      </c>
      <c r="AH140" s="5">
        <f t="shared" si="46"/>
        <v>0.31896954816498285</v>
      </c>
      <c r="AI140" s="4">
        <f t="shared" si="39"/>
        <v>0.53315503136647024</v>
      </c>
      <c r="AJ140" s="4">
        <f t="shared" si="40"/>
        <v>0.44700661533125952</v>
      </c>
      <c r="AK140" s="14">
        <f t="shared" si="41"/>
        <v>53486.453405027838</v>
      </c>
      <c r="AL140" s="14">
        <f t="shared" si="42"/>
        <v>-13197.678962274867</v>
      </c>
      <c r="AM140" s="15">
        <f t="shared" si="43"/>
        <v>1.0053315503136646</v>
      </c>
      <c r="AN140" s="15">
        <f t="shared" si="44"/>
        <v>1.0044700661533126</v>
      </c>
    </row>
    <row r="141" spans="1:40" x14ac:dyDescent="0.2">
      <c r="A141">
        <v>159096</v>
      </c>
      <c r="B141">
        <v>1992</v>
      </c>
      <c r="C141">
        <v>279</v>
      </c>
      <c r="D141" t="s">
        <v>40</v>
      </c>
      <c r="E141" t="s">
        <v>41</v>
      </c>
      <c r="F141">
        <v>3413</v>
      </c>
      <c r="G141" s="1">
        <v>273.2</v>
      </c>
      <c r="H141">
        <v>336</v>
      </c>
      <c r="I141" s="2">
        <v>43438</v>
      </c>
      <c r="J141">
        <v>2177</v>
      </c>
      <c r="K141">
        <v>0</v>
      </c>
      <c r="L141" s="1">
        <v>87.6</v>
      </c>
      <c r="M141" s="1">
        <v>897.1</v>
      </c>
      <c r="N141" s="1">
        <v>71.400000000000006</v>
      </c>
      <c r="O141" s="3">
        <v>1.7361000000000001E-2</v>
      </c>
      <c r="P141" s="4">
        <v>1.6040000000000001</v>
      </c>
      <c r="Q141" s="4">
        <v>0.20399999999999999</v>
      </c>
      <c r="R141" s="1">
        <v>469.3</v>
      </c>
      <c r="S141" s="1">
        <v>189.5</v>
      </c>
      <c r="T141" s="1">
        <v>77</v>
      </c>
      <c r="U141" s="1">
        <v>112.4</v>
      </c>
      <c r="V141" s="1">
        <v>275.60000000000002</v>
      </c>
      <c r="W141" s="1">
        <v>325.10000000000002</v>
      </c>
      <c r="X141" s="1">
        <v>241.5</v>
      </c>
      <c r="Y141">
        <v>0.40799999999999997</v>
      </c>
      <c r="Z141">
        <v>1.7689999999999999</v>
      </c>
      <c r="AA141" s="4">
        <v>0.26500000000000001</v>
      </c>
      <c r="AB141" s="4">
        <v>0.47099999999999997</v>
      </c>
      <c r="AC141" s="4">
        <v>0.187</v>
      </c>
      <c r="AD141" s="12">
        <v>58651.1</v>
      </c>
      <c r="AE141" s="1">
        <v>-9593.2333999999992</v>
      </c>
      <c r="AF141" s="16">
        <f t="shared" si="38"/>
        <v>334</v>
      </c>
      <c r="AG141" s="4">
        <f t="shared" si="45"/>
        <v>2.5477501277949104</v>
      </c>
      <c r="AH141" s="5">
        <f t="shared" si="46"/>
        <v>0.31896954816498285</v>
      </c>
      <c r="AI141" s="4">
        <f t="shared" si="39"/>
        <v>0.53315503136647024</v>
      </c>
      <c r="AJ141" s="4">
        <f t="shared" si="40"/>
        <v>0.44700661533125952</v>
      </c>
      <c r="AK141" s="14">
        <f t="shared" si="41"/>
        <v>58963.801290601776</v>
      </c>
      <c r="AL141" s="14">
        <f t="shared" si="42"/>
        <v>-9636.1157879221664</v>
      </c>
      <c r="AM141" s="15">
        <f t="shared" si="43"/>
        <v>1.0053315503136646</v>
      </c>
      <c r="AN141" s="15">
        <f t="shared" si="44"/>
        <v>1.0044700661533126</v>
      </c>
    </row>
    <row r="142" spans="1:40" x14ac:dyDescent="0.2">
      <c r="A142">
        <v>159096</v>
      </c>
      <c r="B142">
        <v>1992</v>
      </c>
      <c r="C142">
        <v>279</v>
      </c>
      <c r="D142" t="s">
        <v>40</v>
      </c>
      <c r="E142" t="s">
        <v>42</v>
      </c>
      <c r="F142">
        <v>3413</v>
      </c>
      <c r="G142" s="1">
        <v>962.7</v>
      </c>
      <c r="H142">
        <v>504</v>
      </c>
      <c r="I142" s="2">
        <v>43438</v>
      </c>
      <c r="J142">
        <v>2180</v>
      </c>
      <c r="K142">
        <v>0</v>
      </c>
      <c r="L142" s="1">
        <v>159.30000000000001</v>
      </c>
      <c r="M142" s="1">
        <v>803.3</v>
      </c>
      <c r="N142" s="1">
        <v>117.6</v>
      </c>
      <c r="O142" s="3">
        <v>5.2115000000000002E-2</v>
      </c>
      <c r="P142" s="4">
        <v>1.9039999999999999</v>
      </c>
      <c r="Q142" s="4">
        <v>0.27900000000000003</v>
      </c>
      <c r="R142" s="1">
        <v>360.1</v>
      </c>
      <c r="S142" s="1">
        <v>809.8</v>
      </c>
      <c r="T142" s="1">
        <v>326.10000000000002</v>
      </c>
      <c r="U142" s="1">
        <v>483.7</v>
      </c>
      <c r="V142" s="1">
        <v>275.2</v>
      </c>
      <c r="W142" s="1">
        <v>304.3</v>
      </c>
      <c r="X142" s="1">
        <v>255.3</v>
      </c>
      <c r="Y142">
        <v>0.40300000000000002</v>
      </c>
      <c r="Z142">
        <v>1.837</v>
      </c>
      <c r="AA142" s="4">
        <v>0.28000000000000003</v>
      </c>
      <c r="AB142" s="4">
        <v>0.49</v>
      </c>
      <c r="AC142" s="4">
        <v>0.21099999999999999</v>
      </c>
      <c r="AD142" s="12">
        <v>84221.6</v>
      </c>
      <c r="AE142" s="1">
        <v>-22503.326000000001</v>
      </c>
      <c r="AF142" s="16">
        <f t="shared" si="38"/>
        <v>334</v>
      </c>
      <c r="AG142" s="4">
        <f t="shared" si="45"/>
        <v>2.5477501277949104</v>
      </c>
      <c r="AH142" s="5">
        <f t="shared" si="46"/>
        <v>0.31896954816498285</v>
      </c>
      <c r="AI142" s="4">
        <f t="shared" si="39"/>
        <v>0.53315503136647024</v>
      </c>
      <c r="AJ142" s="4">
        <f t="shared" si="40"/>
        <v>0.44700661533125952</v>
      </c>
      <c r="AK142" s="14">
        <f t="shared" si="41"/>
        <v>84670.631697897348</v>
      </c>
      <c r="AL142" s="14">
        <f t="shared" si="42"/>
        <v>-22603.91735588956</v>
      </c>
      <c r="AM142" s="15">
        <f t="shared" si="43"/>
        <v>1.0053315503136646</v>
      </c>
      <c r="AN142" s="15">
        <f t="shared" si="44"/>
        <v>1.0044700661533126</v>
      </c>
    </row>
    <row r="143" spans="1:40" x14ac:dyDescent="0.2">
      <c r="A143">
        <v>159097</v>
      </c>
      <c r="B143">
        <v>1987</v>
      </c>
      <c r="C143">
        <v>280</v>
      </c>
      <c r="D143" t="s">
        <v>40</v>
      </c>
      <c r="E143" t="s">
        <v>41</v>
      </c>
      <c r="F143">
        <v>3413</v>
      </c>
      <c r="G143" s="1">
        <v>366</v>
      </c>
      <c r="H143">
        <v>336</v>
      </c>
      <c r="I143" s="2">
        <v>43439</v>
      </c>
      <c r="J143">
        <v>2183</v>
      </c>
      <c r="K143">
        <v>0</v>
      </c>
      <c r="L143" s="1">
        <v>76.2</v>
      </c>
      <c r="M143" s="1">
        <v>927.9</v>
      </c>
      <c r="N143" s="1">
        <v>79.5</v>
      </c>
      <c r="O143" s="3">
        <v>6.8409999999999999E-3</v>
      </c>
      <c r="P143" s="4">
        <v>1.179</v>
      </c>
      <c r="Q143" s="4">
        <v>0.17299999999999999</v>
      </c>
      <c r="R143" s="1">
        <v>355.5</v>
      </c>
      <c r="S143" s="1">
        <v>294.3</v>
      </c>
      <c r="T143" s="1">
        <v>119.4</v>
      </c>
      <c r="U143" s="1">
        <v>174.8</v>
      </c>
      <c r="V143" s="1">
        <v>212.2</v>
      </c>
      <c r="W143" s="1">
        <v>257.5</v>
      </c>
      <c r="X143" s="1">
        <v>181.4</v>
      </c>
      <c r="Y143">
        <v>0.313</v>
      </c>
      <c r="Z143">
        <v>1.5369999999999999</v>
      </c>
      <c r="AA143" s="4">
        <v>0.254</v>
      </c>
      <c r="AB143" s="4">
        <v>0.57899999999999996</v>
      </c>
      <c r="AC143" s="4">
        <v>0.222</v>
      </c>
      <c r="AD143" s="12">
        <v>48950.5</v>
      </c>
      <c r="AE143" s="1">
        <v>-7092.3369000000002</v>
      </c>
      <c r="AF143" s="16">
        <f t="shared" si="38"/>
        <v>335</v>
      </c>
      <c r="AG143" s="4">
        <f t="shared" si="45"/>
        <v>2.623451105609123</v>
      </c>
      <c r="AH143" s="5">
        <f t="shared" si="46"/>
        <v>0.32844705006974984</v>
      </c>
      <c r="AI143" s="4">
        <f t="shared" si="39"/>
        <v>0.55126814868180374</v>
      </c>
      <c r="AJ143" s="4">
        <f t="shared" si="40"/>
        <v>0.46397939961741153</v>
      </c>
      <c r="AK143" s="14">
        <f t="shared" si="41"/>
        <v>49220.348515120488</v>
      </c>
      <c r="AL143" s="14">
        <f t="shared" si="42"/>
        <v>-7125.243882167465</v>
      </c>
      <c r="AM143" s="15">
        <f t="shared" si="43"/>
        <v>1.005512681486818</v>
      </c>
      <c r="AN143" s="15">
        <f t="shared" si="44"/>
        <v>1.0046397939961742</v>
      </c>
    </row>
    <row r="144" spans="1:40" x14ac:dyDescent="0.2">
      <c r="A144">
        <v>159097</v>
      </c>
      <c r="B144">
        <v>1987</v>
      </c>
      <c r="C144">
        <v>280</v>
      </c>
      <c r="D144" t="s">
        <v>40</v>
      </c>
      <c r="E144" t="s">
        <v>42</v>
      </c>
      <c r="F144">
        <v>3413</v>
      </c>
      <c r="G144" s="1">
        <v>1007.3</v>
      </c>
      <c r="H144">
        <v>504</v>
      </c>
      <c r="I144" s="2">
        <v>43439</v>
      </c>
      <c r="J144">
        <v>2185</v>
      </c>
      <c r="K144">
        <v>0</v>
      </c>
      <c r="L144" s="1">
        <v>112.8</v>
      </c>
      <c r="M144" s="1">
        <v>839.5</v>
      </c>
      <c r="N144" s="1">
        <v>119.4</v>
      </c>
      <c r="O144" s="3">
        <v>2.5238E-2</v>
      </c>
      <c r="P144" s="4">
        <v>1.216</v>
      </c>
      <c r="Q144" s="4">
        <v>0.218</v>
      </c>
      <c r="R144" s="1">
        <v>306</v>
      </c>
      <c r="S144" s="1">
        <v>900.9</v>
      </c>
      <c r="T144" s="1">
        <v>362.7</v>
      </c>
      <c r="U144" s="1">
        <v>538.20000000000005</v>
      </c>
      <c r="V144" s="1">
        <v>241.9</v>
      </c>
      <c r="W144" s="1">
        <v>289.60000000000002</v>
      </c>
      <c r="X144" s="1">
        <v>209.7</v>
      </c>
      <c r="Y144">
        <v>0.35599999999999998</v>
      </c>
      <c r="Z144">
        <v>1.8460000000000001</v>
      </c>
      <c r="AA144" s="4">
        <v>0.26700000000000002</v>
      </c>
      <c r="AB144" s="4">
        <v>0.501</v>
      </c>
      <c r="AC144" s="4">
        <v>0.22700000000000001</v>
      </c>
      <c r="AD144" s="12">
        <v>65628.5</v>
      </c>
      <c r="AE144" s="1">
        <v>-17414.724999999999</v>
      </c>
      <c r="AF144" s="16">
        <f t="shared" si="38"/>
        <v>335</v>
      </c>
      <c r="AG144" s="4">
        <f t="shared" si="45"/>
        <v>2.623451105609123</v>
      </c>
      <c r="AH144" s="5">
        <f t="shared" si="46"/>
        <v>0.32844705006974984</v>
      </c>
      <c r="AI144" s="4">
        <f t="shared" si="39"/>
        <v>0.55126814868180374</v>
      </c>
      <c r="AJ144" s="4">
        <f t="shared" si="40"/>
        <v>0.46397939961741153</v>
      </c>
      <c r="AK144" s="14">
        <f t="shared" si="41"/>
        <v>65990.289016957642</v>
      </c>
      <c r="AL144" s="14">
        <f t="shared" si="42"/>
        <v>-17495.525736500022</v>
      </c>
      <c r="AM144" s="15">
        <f t="shared" si="43"/>
        <v>1.005512681486818</v>
      </c>
      <c r="AN144" s="15">
        <f t="shared" si="44"/>
        <v>1.0046397939961742</v>
      </c>
    </row>
    <row r="145" spans="1:40" x14ac:dyDescent="0.2">
      <c r="A145">
        <v>159098</v>
      </c>
      <c r="B145">
        <v>1981</v>
      </c>
      <c r="C145">
        <v>281</v>
      </c>
      <c r="D145" t="s">
        <v>43</v>
      </c>
      <c r="E145" t="s">
        <v>44</v>
      </c>
      <c r="F145">
        <v>3413</v>
      </c>
      <c r="G145" s="1">
        <v>336.1</v>
      </c>
      <c r="H145">
        <v>336</v>
      </c>
      <c r="I145" s="2">
        <v>43439</v>
      </c>
      <c r="J145">
        <v>2187</v>
      </c>
      <c r="K145">
        <v>0</v>
      </c>
      <c r="L145" s="1">
        <v>55.4</v>
      </c>
      <c r="M145" s="1">
        <v>965.3</v>
      </c>
      <c r="N145" s="1">
        <v>74</v>
      </c>
      <c r="O145" s="3">
        <v>3.3019999999999998E-3</v>
      </c>
      <c r="P145" s="4">
        <v>0.92600000000000005</v>
      </c>
      <c r="Q145" s="4">
        <v>0.152</v>
      </c>
      <c r="R145" s="1">
        <v>215.1</v>
      </c>
      <c r="S145" s="1">
        <v>284.7</v>
      </c>
      <c r="T145" s="1">
        <v>115.5</v>
      </c>
      <c r="U145" s="1">
        <v>169.2</v>
      </c>
      <c r="V145" s="1">
        <v>75.8</v>
      </c>
      <c r="W145" s="1">
        <v>129.6</v>
      </c>
      <c r="X145" s="1">
        <v>39.200000000000003</v>
      </c>
      <c r="Y145">
        <v>0.115</v>
      </c>
      <c r="Z145">
        <v>1.091</v>
      </c>
      <c r="AA145" s="4">
        <v>0.20200000000000001</v>
      </c>
      <c r="AB145" s="4">
        <v>0.90400000000000003</v>
      </c>
      <c r="AC145" s="4">
        <v>0.377</v>
      </c>
      <c r="AD145" s="12">
        <v>22713.599999999999</v>
      </c>
      <c r="AE145" s="1">
        <v>-2888.7615000000001</v>
      </c>
      <c r="AF145" s="16">
        <f t="shared" si="38"/>
        <v>335</v>
      </c>
      <c r="AG145" s="4">
        <f t="shared" si="45"/>
        <v>2.623451105609123</v>
      </c>
      <c r="AH145" s="5">
        <f t="shared" si="46"/>
        <v>0.32844705006974984</v>
      </c>
      <c r="AI145" s="4">
        <f t="shared" si="39"/>
        <v>0.55126814868180374</v>
      </c>
      <c r="AJ145" s="4">
        <f t="shared" si="40"/>
        <v>0.46397939961741153</v>
      </c>
      <c r="AK145" s="14">
        <f t="shared" si="41"/>
        <v>22838.812842218987</v>
      </c>
      <c r="AL145" s="14">
        <f t="shared" si="42"/>
        <v>-2902.1647582640794</v>
      </c>
      <c r="AM145" s="15">
        <f t="shared" si="43"/>
        <v>1.005512681486818</v>
      </c>
      <c r="AN145" s="15">
        <f t="shared" si="44"/>
        <v>1.0046397939961742</v>
      </c>
    </row>
    <row r="146" spans="1:40" x14ac:dyDescent="0.2">
      <c r="A146">
        <v>159098</v>
      </c>
      <c r="B146">
        <v>1981</v>
      </c>
      <c r="C146">
        <v>281</v>
      </c>
      <c r="D146" t="s">
        <v>43</v>
      </c>
      <c r="E146" t="s">
        <v>45</v>
      </c>
      <c r="F146">
        <v>3413</v>
      </c>
      <c r="G146" s="1">
        <v>1158.8</v>
      </c>
      <c r="H146">
        <v>504</v>
      </c>
      <c r="I146" s="2">
        <v>43439</v>
      </c>
      <c r="J146">
        <v>2189</v>
      </c>
      <c r="K146">
        <v>0</v>
      </c>
      <c r="L146" s="1">
        <v>91.5</v>
      </c>
      <c r="M146" s="1">
        <v>871.3</v>
      </c>
      <c r="N146" s="1">
        <v>128.80000000000001</v>
      </c>
      <c r="O146" s="3">
        <v>1.5855000000000001E-2</v>
      </c>
      <c r="P146" s="4">
        <v>0.90900000000000003</v>
      </c>
      <c r="Q146" s="4">
        <v>0.20100000000000001</v>
      </c>
      <c r="R146" s="1">
        <v>181.2</v>
      </c>
      <c r="S146" s="1">
        <v>1074.2</v>
      </c>
      <c r="T146" s="1">
        <v>432.5</v>
      </c>
      <c r="U146" s="1">
        <v>641.70000000000005</v>
      </c>
      <c r="V146" s="1">
        <v>125.5</v>
      </c>
      <c r="W146" s="1">
        <v>151.9</v>
      </c>
      <c r="X146" s="1">
        <v>107.6</v>
      </c>
      <c r="Y146">
        <v>0.182</v>
      </c>
      <c r="Z146">
        <v>1.46</v>
      </c>
      <c r="AA146" s="4">
        <v>0.222</v>
      </c>
      <c r="AB146" s="4">
        <v>0.66400000000000003</v>
      </c>
      <c r="AC146" s="4">
        <v>0.24299999999999999</v>
      </c>
      <c r="AD146" s="12">
        <v>32704.1</v>
      </c>
      <c r="AE146" s="1">
        <v>-7403.4472999999998</v>
      </c>
      <c r="AF146" s="16">
        <f t="shared" si="38"/>
        <v>335</v>
      </c>
      <c r="AG146" s="4">
        <f t="shared" si="45"/>
        <v>2.623451105609123</v>
      </c>
      <c r="AH146" s="5">
        <f t="shared" si="46"/>
        <v>0.32844705006974984</v>
      </c>
      <c r="AI146" s="4">
        <f t="shared" si="39"/>
        <v>0.55126814868180374</v>
      </c>
      <c r="AJ146" s="4">
        <f t="shared" si="40"/>
        <v>0.46397939961741153</v>
      </c>
      <c r="AK146" s="14">
        <f t="shared" si="41"/>
        <v>32884.387286613048</v>
      </c>
      <c r="AL146" s="14">
        <f t="shared" si="42"/>
        <v>-7437.7977703335318</v>
      </c>
      <c r="AM146" s="15">
        <f t="shared" si="43"/>
        <v>1.005512681486818</v>
      </c>
      <c r="AN146" s="15">
        <f t="shared" si="44"/>
        <v>1.0046397939961742</v>
      </c>
    </row>
    <row r="147" spans="1:40" x14ac:dyDescent="0.2">
      <c r="A147">
        <v>159054</v>
      </c>
      <c r="B147">
        <v>1987</v>
      </c>
      <c r="C147">
        <v>282</v>
      </c>
      <c r="D147" t="s">
        <v>40</v>
      </c>
      <c r="E147" t="s">
        <v>41</v>
      </c>
      <c r="F147">
        <v>3413</v>
      </c>
      <c r="G147" s="1">
        <v>349.7</v>
      </c>
      <c r="H147">
        <v>336</v>
      </c>
      <c r="I147" s="2">
        <v>43440</v>
      </c>
      <c r="J147">
        <v>2195</v>
      </c>
      <c r="K147">
        <v>0</v>
      </c>
      <c r="L147" s="1">
        <v>76.5</v>
      </c>
      <c r="M147" s="1">
        <v>917</v>
      </c>
      <c r="N147" s="1">
        <v>74.7</v>
      </c>
      <c r="O147" s="3">
        <v>1.3197E-2</v>
      </c>
      <c r="P147" s="4">
        <v>1.3260000000000001</v>
      </c>
      <c r="Q147" s="4">
        <v>0.20200000000000001</v>
      </c>
      <c r="R147" s="1">
        <v>366.1</v>
      </c>
      <c r="S147" s="1">
        <v>277.2</v>
      </c>
      <c r="T147" s="1">
        <v>112.4</v>
      </c>
      <c r="U147" s="1">
        <v>164.9</v>
      </c>
      <c r="V147" s="1">
        <v>218.6</v>
      </c>
      <c r="W147" s="1">
        <v>280.8</v>
      </c>
      <c r="X147" s="1">
        <v>176.2</v>
      </c>
      <c r="Y147">
        <v>0.32400000000000001</v>
      </c>
      <c r="Z147">
        <v>1.452</v>
      </c>
      <c r="AA147" s="4">
        <v>0.26300000000000001</v>
      </c>
      <c r="AB147" s="4">
        <v>0.621</v>
      </c>
      <c r="AC147" s="4">
        <v>0.26200000000000001</v>
      </c>
      <c r="AD147" s="12">
        <v>51446.9</v>
      </c>
      <c r="AE147" s="1">
        <v>-8316.3037000000004</v>
      </c>
      <c r="AF147" s="16">
        <f t="shared" si="38"/>
        <v>336</v>
      </c>
      <c r="AG147" s="4">
        <f t="shared" si="45"/>
        <v>2.7014013770175187</v>
      </c>
      <c r="AH147" s="5">
        <f t="shared" si="46"/>
        <v>0.33820615579178293</v>
      </c>
      <c r="AI147" s="4">
        <f t="shared" si="39"/>
        <v>0.56991945876458172</v>
      </c>
      <c r="AJ147" s="4">
        <f t="shared" si="40"/>
        <v>0.48145649409971447</v>
      </c>
      <c r="AK147" s="14">
        <f t="shared" si="41"/>
        <v>51740.105894031163</v>
      </c>
      <c r="AL147" s="14">
        <f t="shared" si="42"/>
        <v>-8356.3430842327052</v>
      </c>
      <c r="AM147" s="15">
        <f t="shared" si="43"/>
        <v>1.0056991945876459</v>
      </c>
      <c r="AN147" s="15">
        <f t="shared" si="44"/>
        <v>1.0048145649409972</v>
      </c>
    </row>
    <row r="148" spans="1:40" x14ac:dyDescent="0.2">
      <c r="A148">
        <v>159054</v>
      </c>
      <c r="B148">
        <v>1987</v>
      </c>
      <c r="C148">
        <v>282</v>
      </c>
      <c r="D148" t="s">
        <v>40</v>
      </c>
      <c r="E148" t="s">
        <v>42</v>
      </c>
      <c r="F148">
        <v>3413</v>
      </c>
      <c r="G148" s="1">
        <v>1162.9000000000001</v>
      </c>
      <c r="H148">
        <v>504</v>
      </c>
      <c r="I148" s="2">
        <v>43440</v>
      </c>
      <c r="J148">
        <v>2196</v>
      </c>
      <c r="K148">
        <v>0</v>
      </c>
      <c r="L148" s="1">
        <v>129.19999999999999</v>
      </c>
      <c r="M148" s="1">
        <v>797.5</v>
      </c>
      <c r="N148" s="1">
        <v>131.80000000000001</v>
      </c>
      <c r="O148" s="3">
        <v>3.9153E-2</v>
      </c>
      <c r="P148" s="4">
        <v>1.353</v>
      </c>
      <c r="Q148" s="4">
        <v>0.24</v>
      </c>
      <c r="R148" s="1">
        <v>329.7</v>
      </c>
      <c r="S148" s="1">
        <v>1040.5999999999999</v>
      </c>
      <c r="T148" s="1">
        <v>418.8</v>
      </c>
      <c r="U148" s="1">
        <v>621.79999999999995</v>
      </c>
      <c r="V148" s="1">
        <v>273.60000000000002</v>
      </c>
      <c r="W148" s="1">
        <v>305.60000000000002</v>
      </c>
      <c r="X148" s="1">
        <v>251.9</v>
      </c>
      <c r="Y148">
        <v>0.39500000000000002</v>
      </c>
      <c r="Z148">
        <v>1.6850000000000001</v>
      </c>
      <c r="AA148" s="4">
        <v>0.317</v>
      </c>
      <c r="AB148" s="4">
        <v>0.54700000000000004</v>
      </c>
      <c r="AC148" s="4">
        <v>0.26</v>
      </c>
      <c r="AD148" s="12">
        <v>79778.899999999994</v>
      </c>
      <c r="AE148" s="1">
        <v>-21023.838</v>
      </c>
      <c r="AF148" s="16">
        <f t="shared" si="38"/>
        <v>336</v>
      </c>
      <c r="AG148" s="4">
        <f t="shared" si="45"/>
        <v>2.7014013770175187</v>
      </c>
      <c r="AH148" s="5">
        <f t="shared" si="46"/>
        <v>0.33820615579178293</v>
      </c>
      <c r="AI148" s="4">
        <f t="shared" si="39"/>
        <v>0.56991945876458172</v>
      </c>
      <c r="AJ148" s="4">
        <f t="shared" si="40"/>
        <v>0.48145649409971447</v>
      </c>
      <c r="AK148" s="14">
        <f t="shared" si="41"/>
        <v>80233.575475088335</v>
      </c>
      <c r="AL148" s="14">
        <f t="shared" si="42"/>
        <v>-21125.058633360004</v>
      </c>
      <c r="AM148" s="15">
        <f t="shared" si="43"/>
        <v>1.0056991945876459</v>
      </c>
      <c r="AN148" s="15">
        <f t="shared" si="44"/>
        <v>1.0048145649409972</v>
      </c>
    </row>
    <row r="149" spans="1:40" x14ac:dyDescent="0.2">
      <c r="A149">
        <v>159099</v>
      </c>
      <c r="B149">
        <v>1997</v>
      </c>
      <c r="C149">
        <v>283</v>
      </c>
      <c r="D149" t="s">
        <v>43</v>
      </c>
      <c r="E149" t="s">
        <v>41</v>
      </c>
      <c r="F149">
        <v>3413</v>
      </c>
      <c r="G149" s="1">
        <v>302.7</v>
      </c>
      <c r="H149">
        <v>336</v>
      </c>
      <c r="I149" s="2">
        <v>43441</v>
      </c>
      <c r="J149">
        <v>2199</v>
      </c>
      <c r="K149">
        <v>0</v>
      </c>
      <c r="L149" s="1">
        <v>65.8</v>
      </c>
      <c r="M149" s="1">
        <v>929.7</v>
      </c>
      <c r="N149" s="1">
        <v>66.400000000000006</v>
      </c>
      <c r="O149" s="3">
        <v>5.901E-3</v>
      </c>
      <c r="P149" s="4">
        <v>1.2969999999999999</v>
      </c>
      <c r="Q149" s="4">
        <v>0.16900000000000001</v>
      </c>
      <c r="R149" s="1">
        <v>332</v>
      </c>
      <c r="S149" s="1">
        <v>240.5</v>
      </c>
      <c r="T149" s="1">
        <v>97.5</v>
      </c>
      <c r="U149" s="1">
        <v>143</v>
      </c>
      <c r="V149" s="1">
        <v>173.5</v>
      </c>
      <c r="W149" s="1">
        <v>225.5</v>
      </c>
      <c r="X149" s="1">
        <v>138</v>
      </c>
      <c r="Y149">
        <v>0.26</v>
      </c>
      <c r="Z149">
        <v>1.4039999999999999</v>
      </c>
      <c r="AA149" s="4">
        <v>0.23799999999999999</v>
      </c>
      <c r="AB149" s="4">
        <v>0.65500000000000003</v>
      </c>
      <c r="AC149" s="4">
        <v>0.26</v>
      </c>
      <c r="AD149" s="12">
        <v>36659.9</v>
      </c>
      <c r="AE149" s="1">
        <v>-5740.4766</v>
      </c>
      <c r="AF149" s="16">
        <f t="shared" si="38"/>
        <v>337</v>
      </c>
      <c r="AG149" s="4">
        <f t="shared" si="45"/>
        <v>2.7816677749966177</v>
      </c>
      <c r="AH149" s="5">
        <f t="shared" si="46"/>
        <v>0.34825523258974311</v>
      </c>
      <c r="AI149" s="4">
        <f t="shared" si="39"/>
        <v>0.58912495286853939</v>
      </c>
      <c r="AJ149" s="4">
        <f t="shared" si="40"/>
        <v>0.49945288328334148</v>
      </c>
      <c r="AK149" s="14">
        <f t="shared" si="41"/>
        <v>36875.872618596652</v>
      </c>
      <c r="AL149" s="14">
        <f t="shared" si="42"/>
        <v>-5769.1475758929055</v>
      </c>
      <c r="AM149" s="15">
        <f t="shared" si="43"/>
        <v>1.0058912495286854</v>
      </c>
      <c r="AN149" s="15">
        <f t="shared" si="44"/>
        <v>1.0049945288328335</v>
      </c>
    </row>
    <row r="150" spans="1:40" x14ac:dyDescent="0.2">
      <c r="A150">
        <v>159099</v>
      </c>
      <c r="B150">
        <v>1997</v>
      </c>
      <c r="C150">
        <v>283</v>
      </c>
      <c r="D150" t="s">
        <v>43</v>
      </c>
      <c r="E150" t="s">
        <v>42</v>
      </c>
      <c r="F150">
        <v>3413</v>
      </c>
      <c r="G150" s="1">
        <v>955.8</v>
      </c>
      <c r="H150">
        <v>504</v>
      </c>
      <c r="I150" s="2">
        <v>43441</v>
      </c>
      <c r="J150">
        <v>2200</v>
      </c>
      <c r="K150">
        <v>0</v>
      </c>
      <c r="L150" s="1">
        <v>118.9</v>
      </c>
      <c r="M150" s="1">
        <v>889.2</v>
      </c>
      <c r="N150" s="1">
        <v>115.2</v>
      </c>
      <c r="O150" s="3">
        <v>1.5303000000000001E-2</v>
      </c>
      <c r="P150" s="4">
        <v>1.31</v>
      </c>
      <c r="Q150" s="4">
        <v>0.19</v>
      </c>
      <c r="R150" s="1">
        <v>296.60000000000002</v>
      </c>
      <c r="S150" s="1">
        <v>843.3</v>
      </c>
      <c r="T150" s="1">
        <v>339.6</v>
      </c>
      <c r="U150" s="1">
        <v>503.6</v>
      </c>
      <c r="V150" s="1">
        <v>215.9</v>
      </c>
      <c r="W150" s="1">
        <v>256.89999999999998</v>
      </c>
      <c r="X150" s="1">
        <v>188.1</v>
      </c>
      <c r="Y150">
        <v>0.31900000000000001</v>
      </c>
      <c r="Z150">
        <v>1.474</v>
      </c>
      <c r="AA150" s="4">
        <v>0.26900000000000002</v>
      </c>
      <c r="AB150" s="4">
        <v>0.628</v>
      </c>
      <c r="AC150" s="4">
        <v>0.27800000000000002</v>
      </c>
      <c r="AD150" s="12">
        <v>62235.1</v>
      </c>
      <c r="AE150" s="1">
        <v>-15977.152</v>
      </c>
      <c r="AF150" s="16">
        <f t="shared" si="38"/>
        <v>337</v>
      </c>
      <c r="AG150" s="4">
        <f t="shared" si="45"/>
        <v>2.7816677749966177</v>
      </c>
      <c r="AH150" s="5">
        <f t="shared" si="46"/>
        <v>0.34825523258974311</v>
      </c>
      <c r="AI150" s="4">
        <f t="shared" si="39"/>
        <v>0.58912495286853939</v>
      </c>
      <c r="AJ150" s="4">
        <f t="shared" si="40"/>
        <v>0.49945288328334148</v>
      </c>
      <c r="AK150" s="14">
        <f t="shared" si="41"/>
        <v>62601.742503542686</v>
      </c>
      <c r="AL150" s="14">
        <f t="shared" si="42"/>
        <v>-16056.950346330563</v>
      </c>
      <c r="AM150" s="15">
        <f t="shared" si="43"/>
        <v>1.0058912495286854</v>
      </c>
      <c r="AN150" s="15">
        <f t="shared" si="44"/>
        <v>1.0049945288328335</v>
      </c>
    </row>
    <row r="151" spans="1:40" x14ac:dyDescent="0.2">
      <c r="A151">
        <v>159124</v>
      </c>
      <c r="B151">
        <v>1989</v>
      </c>
      <c r="C151">
        <v>284</v>
      </c>
      <c r="D151" t="s">
        <v>43</v>
      </c>
      <c r="E151" t="s">
        <v>41</v>
      </c>
      <c r="F151">
        <v>3413</v>
      </c>
      <c r="G151">
        <v>276.8</v>
      </c>
      <c r="H151">
        <v>336</v>
      </c>
      <c r="I151" s="2">
        <v>43444</v>
      </c>
      <c r="J151">
        <v>2205</v>
      </c>
      <c r="K151">
        <v>0</v>
      </c>
      <c r="L151">
        <v>58.8</v>
      </c>
      <c r="M151">
        <v>936.2</v>
      </c>
      <c r="N151">
        <v>66.8</v>
      </c>
      <c r="O151">
        <v>3.761E-3</v>
      </c>
      <c r="P151">
        <v>1.1000000000000001</v>
      </c>
      <c r="Q151">
        <v>0.154</v>
      </c>
      <c r="R151">
        <v>332.6</v>
      </c>
      <c r="S151">
        <v>221.6</v>
      </c>
      <c r="T151">
        <v>90</v>
      </c>
      <c r="U151">
        <v>131.6</v>
      </c>
      <c r="V151">
        <v>176.8</v>
      </c>
      <c r="W151">
        <v>229.3</v>
      </c>
      <c r="X151">
        <v>140.6</v>
      </c>
      <c r="Y151">
        <v>0.25800000000000001</v>
      </c>
      <c r="Z151">
        <v>1.4770000000000001</v>
      </c>
      <c r="AA151">
        <v>0.23300000000000001</v>
      </c>
      <c r="AB151">
        <v>0.61899999999999999</v>
      </c>
      <c r="AC151">
        <v>0.23499999999999999</v>
      </c>
      <c r="AD151" s="12">
        <v>31630.2</v>
      </c>
      <c r="AE151" s="1">
        <v>-4477.0059000000001</v>
      </c>
      <c r="AF151" s="16">
        <f t="shared" si="38"/>
        <v>340</v>
      </c>
      <c r="AG151" s="4">
        <f t="shared" si="45"/>
        <v>3.037062200896298</v>
      </c>
      <c r="AH151" s="5">
        <f t="shared" si="46"/>
        <v>0.3802297357972389</v>
      </c>
      <c r="AI151" s="4">
        <f t="shared" si="39"/>
        <v>0.65023366416360906</v>
      </c>
      <c r="AJ151" s="4">
        <f t="shared" si="40"/>
        <v>0.55671442235248536</v>
      </c>
      <c r="AK151" s="14">
        <f t="shared" si="41"/>
        <v>31835.87020844228</v>
      </c>
      <c r="AL151" s="14">
        <f t="shared" si="42"/>
        <v>-4501.9300375348712</v>
      </c>
      <c r="AM151" s="15">
        <f t="shared" si="43"/>
        <v>1.0065023366416361</v>
      </c>
      <c r="AN151" s="15">
        <f t="shared" si="44"/>
        <v>1.0055671442235248</v>
      </c>
    </row>
    <row r="152" spans="1:40" x14ac:dyDescent="0.2">
      <c r="A152">
        <v>159124</v>
      </c>
      <c r="B152">
        <v>1989</v>
      </c>
      <c r="C152">
        <v>284</v>
      </c>
      <c r="D152" t="s">
        <v>43</v>
      </c>
      <c r="E152" t="s">
        <v>42</v>
      </c>
      <c r="F152">
        <v>3413</v>
      </c>
      <c r="G152" s="1">
        <v>994.5</v>
      </c>
      <c r="H152">
        <v>504</v>
      </c>
      <c r="I152" s="2">
        <v>43444</v>
      </c>
      <c r="J152">
        <v>2206</v>
      </c>
      <c r="K152">
        <v>0</v>
      </c>
      <c r="L152" s="1">
        <v>101.7</v>
      </c>
      <c r="M152" s="1">
        <v>871.5</v>
      </c>
      <c r="N152" s="1">
        <v>119.1</v>
      </c>
      <c r="O152" s="3">
        <v>1.8689000000000001E-2</v>
      </c>
      <c r="P152" s="4">
        <v>1.127</v>
      </c>
      <c r="Q152" s="4">
        <v>0.21099999999999999</v>
      </c>
      <c r="R152" s="1">
        <v>299.60000000000002</v>
      </c>
      <c r="S152" s="1">
        <v>899.3</v>
      </c>
      <c r="T152" s="1">
        <v>362.1</v>
      </c>
      <c r="U152" s="1">
        <v>537.1</v>
      </c>
      <c r="V152" s="1">
        <v>237.4</v>
      </c>
      <c r="W152" s="1">
        <v>257.10000000000002</v>
      </c>
      <c r="X152" s="1">
        <v>224.1</v>
      </c>
      <c r="Y152">
        <v>0.34</v>
      </c>
      <c r="Z152">
        <v>1.5740000000000001</v>
      </c>
      <c r="AA152" s="4">
        <v>0.28299999999999997</v>
      </c>
      <c r="AB152" s="4">
        <v>0.58499999999999996</v>
      </c>
      <c r="AC152" s="4">
        <v>0.26600000000000001</v>
      </c>
      <c r="AD152" s="12">
        <v>61539.3</v>
      </c>
      <c r="AE152" s="1">
        <v>-15731.843000000001</v>
      </c>
      <c r="AF152" s="16">
        <f t="shared" si="38"/>
        <v>340</v>
      </c>
      <c r="AG152" s="4">
        <f t="shared" si="45"/>
        <v>3.037062200896298</v>
      </c>
      <c r="AH152" s="5">
        <f t="shared" si="46"/>
        <v>0.3802297357972389</v>
      </c>
      <c r="AI152" s="4">
        <f t="shared" si="39"/>
        <v>0.65023366416360906</v>
      </c>
      <c r="AJ152" s="4">
        <f t="shared" si="40"/>
        <v>0.55671442235248536</v>
      </c>
      <c r="AK152" s="14">
        <f t="shared" si="41"/>
        <v>61939.449245290642</v>
      </c>
      <c r="AL152" s="14">
        <f t="shared" si="42"/>
        <v>-15819.42443888285</v>
      </c>
      <c r="AM152" s="15">
        <f t="shared" si="43"/>
        <v>1.0065023366416361</v>
      </c>
      <c r="AN152" s="15">
        <f t="shared" si="44"/>
        <v>1.0055671442235248</v>
      </c>
    </row>
    <row r="153" spans="1:40" x14ac:dyDescent="0.2">
      <c r="A153">
        <v>159125</v>
      </c>
      <c r="B153">
        <v>1990</v>
      </c>
      <c r="C153">
        <v>285</v>
      </c>
      <c r="D153" t="s">
        <v>43</v>
      </c>
      <c r="E153" t="s">
        <v>41</v>
      </c>
      <c r="F153">
        <v>3413</v>
      </c>
      <c r="G153" s="1">
        <v>250.3</v>
      </c>
      <c r="H153">
        <v>336</v>
      </c>
      <c r="I153" s="2">
        <v>43444</v>
      </c>
      <c r="J153">
        <v>2209</v>
      </c>
      <c r="K153">
        <v>0</v>
      </c>
      <c r="L153" s="1">
        <v>41.3</v>
      </c>
      <c r="M153" s="1">
        <v>916</v>
      </c>
      <c r="N153" s="1">
        <v>62.9</v>
      </c>
      <c r="O153" s="3">
        <v>2.392E-3</v>
      </c>
      <c r="P153" s="4">
        <v>0.80600000000000005</v>
      </c>
      <c r="Q153" s="4">
        <v>0.13500000000000001</v>
      </c>
      <c r="R153" s="1">
        <v>240.9</v>
      </c>
      <c r="S153" s="1">
        <v>212.4</v>
      </c>
      <c r="T153" s="1">
        <v>86.1</v>
      </c>
      <c r="U153" s="1">
        <v>126.3</v>
      </c>
      <c r="V153" s="1">
        <v>116.7</v>
      </c>
      <c r="W153" s="1">
        <v>167.1</v>
      </c>
      <c r="X153" s="1">
        <v>82.4</v>
      </c>
      <c r="Y153">
        <v>0.17399999999999999</v>
      </c>
      <c r="Z153">
        <v>1.349</v>
      </c>
      <c r="AA153" s="4">
        <v>0.20599999999999999</v>
      </c>
      <c r="AB153" s="4">
        <v>0.70599999999999996</v>
      </c>
      <c r="AC153" s="4">
        <v>0.26</v>
      </c>
      <c r="AD153" s="12">
        <v>17341.8</v>
      </c>
      <c r="AE153" s="1">
        <v>-2142.9281999999998</v>
      </c>
      <c r="AF153" s="16">
        <f t="shared" si="38"/>
        <v>340</v>
      </c>
      <c r="AG153" s="4">
        <f t="shared" si="45"/>
        <v>3.037062200896298</v>
      </c>
      <c r="AH153" s="5">
        <f t="shared" si="46"/>
        <v>0.3802297357972389</v>
      </c>
      <c r="AI153" s="4">
        <f t="shared" si="39"/>
        <v>0.65023366416360906</v>
      </c>
      <c r="AJ153" s="4">
        <f t="shared" si="40"/>
        <v>0.55671442235248536</v>
      </c>
      <c r="AK153" s="14">
        <f t="shared" si="41"/>
        <v>17454.562221571923</v>
      </c>
      <c r="AL153" s="14">
        <f t="shared" si="42"/>
        <v>-2154.8581903500581</v>
      </c>
      <c r="AM153" s="15">
        <f t="shared" si="43"/>
        <v>1.0065023366416361</v>
      </c>
      <c r="AN153" s="15">
        <f t="shared" si="44"/>
        <v>1.0055671442235248</v>
      </c>
    </row>
    <row r="154" spans="1:40" x14ac:dyDescent="0.2">
      <c r="A154">
        <v>159125</v>
      </c>
      <c r="B154">
        <v>1990</v>
      </c>
      <c r="C154">
        <v>285</v>
      </c>
      <c r="D154" t="s">
        <v>43</v>
      </c>
      <c r="E154" t="s">
        <v>42</v>
      </c>
      <c r="F154">
        <v>3413</v>
      </c>
      <c r="G154" s="1">
        <v>897.4</v>
      </c>
      <c r="H154">
        <v>504</v>
      </c>
      <c r="I154" s="2">
        <v>43444</v>
      </c>
      <c r="J154">
        <v>2210</v>
      </c>
      <c r="K154">
        <v>0</v>
      </c>
      <c r="L154" s="1">
        <v>76.3</v>
      </c>
      <c r="M154" s="1">
        <v>854</v>
      </c>
      <c r="N154" s="1">
        <v>111.8</v>
      </c>
      <c r="O154" s="3">
        <v>7.8790000000000006E-3</v>
      </c>
      <c r="P154" s="4">
        <v>0.84499999999999997</v>
      </c>
      <c r="Q154" s="4">
        <v>0.17100000000000001</v>
      </c>
      <c r="R154" s="1">
        <v>193.3</v>
      </c>
      <c r="S154" s="1">
        <v>827.3</v>
      </c>
      <c r="T154" s="1">
        <v>333.3</v>
      </c>
      <c r="U154" s="1">
        <v>493.9</v>
      </c>
      <c r="V154" s="1">
        <v>135.9</v>
      </c>
      <c r="W154" s="1">
        <v>166.4</v>
      </c>
      <c r="X154" s="1">
        <v>115.5</v>
      </c>
      <c r="Y154">
        <v>0.19900000000000001</v>
      </c>
      <c r="Z154">
        <v>1.486</v>
      </c>
      <c r="AA154" s="4">
        <v>0.22900000000000001</v>
      </c>
      <c r="AB154" s="4">
        <v>0.65900000000000003</v>
      </c>
      <c r="AC154" s="4">
        <v>0.26300000000000001</v>
      </c>
      <c r="AD154" s="12">
        <v>27154.9</v>
      </c>
      <c r="AE154" s="1">
        <v>-6316.3833000000004</v>
      </c>
      <c r="AF154" s="16">
        <f t="shared" si="38"/>
        <v>340</v>
      </c>
      <c r="AG154" s="4">
        <f t="shared" si="45"/>
        <v>3.037062200896298</v>
      </c>
      <c r="AH154" s="5">
        <f t="shared" si="46"/>
        <v>0.3802297357972389</v>
      </c>
      <c r="AI154" s="4">
        <f t="shared" si="39"/>
        <v>0.65023366416360906</v>
      </c>
      <c r="AJ154" s="4">
        <f t="shared" si="40"/>
        <v>0.55671442235248536</v>
      </c>
      <c r="AK154" s="14">
        <f t="shared" si="41"/>
        <v>27331.470301269965</v>
      </c>
      <c r="AL154" s="14">
        <f t="shared" si="42"/>
        <v>-6351.547516802164</v>
      </c>
      <c r="AM154" s="15">
        <f t="shared" si="43"/>
        <v>1.0065023366416361</v>
      </c>
      <c r="AN154" s="15">
        <f t="shared" si="44"/>
        <v>1.0055671442235248</v>
      </c>
    </row>
    <row r="155" spans="1:40" x14ac:dyDescent="0.2">
      <c r="A155">
        <v>159128</v>
      </c>
      <c r="B155">
        <v>1984</v>
      </c>
      <c r="C155">
        <v>286</v>
      </c>
      <c r="D155" t="s">
        <v>43</v>
      </c>
      <c r="E155" t="s">
        <v>41</v>
      </c>
      <c r="F155">
        <v>3413</v>
      </c>
      <c r="G155" s="1">
        <v>342.4</v>
      </c>
      <c r="H155">
        <v>336</v>
      </c>
      <c r="I155" s="2">
        <v>43446</v>
      </c>
      <c r="J155">
        <v>2215</v>
      </c>
      <c r="K155">
        <v>0</v>
      </c>
      <c r="L155" s="1">
        <v>52.8</v>
      </c>
      <c r="M155" s="1">
        <v>936</v>
      </c>
      <c r="N155" s="1">
        <v>75.099999999999994</v>
      </c>
      <c r="O155" s="3">
        <v>2.6879999999999999E-3</v>
      </c>
      <c r="P155" s="4">
        <v>0.86</v>
      </c>
      <c r="Q155" s="4">
        <v>0.152</v>
      </c>
      <c r="R155" s="1">
        <v>240.7</v>
      </c>
      <c r="S155" s="1">
        <v>293.7</v>
      </c>
      <c r="T155" s="1">
        <v>119.1</v>
      </c>
      <c r="U155" s="1">
        <v>174.6</v>
      </c>
      <c r="V155" s="1">
        <v>122.3</v>
      </c>
      <c r="W155" s="1">
        <v>173.7</v>
      </c>
      <c r="X155" s="1">
        <v>87</v>
      </c>
      <c r="Y155">
        <v>0.17899999999999999</v>
      </c>
      <c r="Z155">
        <v>1.3620000000000001</v>
      </c>
      <c r="AA155" s="4">
        <v>0.20899999999999999</v>
      </c>
      <c r="AB155" s="4">
        <v>0.69299999999999995</v>
      </c>
      <c r="AC155" s="4">
        <v>0.254</v>
      </c>
      <c r="AD155" s="12">
        <v>26040.9</v>
      </c>
      <c r="AE155" s="1">
        <v>-3457.1738</v>
      </c>
      <c r="AF155" s="16">
        <f t="shared" si="38"/>
        <v>342</v>
      </c>
      <c r="AG155" s="4">
        <f t="shared" si="45"/>
        <v>3.2202231773372518</v>
      </c>
      <c r="AH155" s="5">
        <f t="shared" si="46"/>
        <v>0.40316085971691207</v>
      </c>
      <c r="AI155" s="4">
        <f t="shared" si="39"/>
        <v>0.69405894026517079</v>
      </c>
      <c r="AJ155" s="4">
        <f t="shared" si="40"/>
        <v>0.597780625624032</v>
      </c>
      <c r="AK155" s="14">
        <f t="shared" si="41"/>
        <v>26221.639194575517</v>
      </c>
      <c r="AL155" s="14">
        <f t="shared" si="42"/>
        <v>-3477.8401151705502</v>
      </c>
      <c r="AM155" s="15">
        <f t="shared" si="43"/>
        <v>1.0069405894026517</v>
      </c>
      <c r="AN155" s="15">
        <f t="shared" si="44"/>
        <v>1.0059778062562403</v>
      </c>
    </row>
    <row r="156" spans="1:40" x14ac:dyDescent="0.2">
      <c r="A156">
        <v>159128</v>
      </c>
      <c r="B156">
        <v>1984</v>
      </c>
      <c r="C156">
        <v>286</v>
      </c>
      <c r="D156" t="s">
        <v>43</v>
      </c>
      <c r="E156" t="s">
        <v>42</v>
      </c>
      <c r="F156">
        <v>3413</v>
      </c>
      <c r="G156" s="1">
        <v>1000.7</v>
      </c>
      <c r="H156">
        <v>504</v>
      </c>
      <c r="I156" s="2">
        <v>43446</v>
      </c>
      <c r="J156">
        <v>2217</v>
      </c>
      <c r="K156">
        <v>0</v>
      </c>
      <c r="L156" s="1">
        <v>114.1</v>
      </c>
      <c r="M156" s="1">
        <v>839</v>
      </c>
      <c r="N156" s="1">
        <v>124.4</v>
      </c>
      <c r="O156" s="3">
        <v>3.5335999999999999E-2</v>
      </c>
      <c r="P156" s="4">
        <v>1.242</v>
      </c>
      <c r="Q156" s="4">
        <v>0.24</v>
      </c>
      <c r="R156" s="1">
        <v>280.8</v>
      </c>
      <c r="S156" s="1">
        <v>893.1</v>
      </c>
      <c r="T156" s="1">
        <v>359.7</v>
      </c>
      <c r="U156" s="1">
        <v>533.4</v>
      </c>
      <c r="V156" s="1">
        <v>212.2</v>
      </c>
      <c r="W156" s="1">
        <v>244.4</v>
      </c>
      <c r="X156" s="1">
        <v>190.6</v>
      </c>
      <c r="Y156">
        <v>0.30399999999999999</v>
      </c>
      <c r="Z156">
        <v>1.5640000000000001</v>
      </c>
      <c r="AA156" s="4">
        <v>0.26600000000000001</v>
      </c>
      <c r="AB156" s="4">
        <v>0.58399999999999996</v>
      </c>
      <c r="AC156" s="4">
        <v>0.251</v>
      </c>
      <c r="AD156" s="12">
        <v>55521.5</v>
      </c>
      <c r="AE156" s="1">
        <v>-13832.88</v>
      </c>
      <c r="AF156" s="16">
        <f t="shared" si="38"/>
        <v>342</v>
      </c>
      <c r="AG156" s="4">
        <f t="shared" si="45"/>
        <v>3.2202231773372518</v>
      </c>
      <c r="AH156" s="5">
        <f t="shared" si="46"/>
        <v>0.40316085971691207</v>
      </c>
      <c r="AI156" s="4">
        <f t="shared" si="39"/>
        <v>0.69405894026517079</v>
      </c>
      <c r="AJ156" s="4">
        <f t="shared" si="40"/>
        <v>0.597780625624032</v>
      </c>
      <c r="AK156" s="14">
        <f t="shared" si="41"/>
        <v>55906.851934519327</v>
      </c>
      <c r="AL156" s="14">
        <f t="shared" si="42"/>
        <v>-13915.57027660582</v>
      </c>
      <c r="AM156" s="15">
        <f t="shared" si="43"/>
        <v>1.0069405894026517</v>
      </c>
      <c r="AN156" s="15">
        <f t="shared" si="44"/>
        <v>1.0059778062562403</v>
      </c>
    </row>
    <row r="157" spans="1:40" x14ac:dyDescent="0.2">
      <c r="A157">
        <v>159129</v>
      </c>
      <c r="B157">
        <v>1988</v>
      </c>
      <c r="C157">
        <v>287</v>
      </c>
      <c r="D157" t="s">
        <v>43</v>
      </c>
      <c r="E157" t="s">
        <v>41</v>
      </c>
      <c r="F157">
        <v>3413</v>
      </c>
      <c r="G157" s="1">
        <v>245.7</v>
      </c>
      <c r="H157">
        <v>336</v>
      </c>
      <c r="I157" s="2">
        <v>43446</v>
      </c>
      <c r="J157">
        <v>2219</v>
      </c>
      <c r="K157">
        <v>0</v>
      </c>
      <c r="L157" s="1">
        <v>48.6</v>
      </c>
      <c r="M157" s="1">
        <v>972</v>
      </c>
      <c r="N157" s="1">
        <v>61.5</v>
      </c>
      <c r="O157" s="3">
        <v>1.874E-3</v>
      </c>
      <c r="P157" s="4">
        <v>0.95099999999999996</v>
      </c>
      <c r="Q157" s="4">
        <v>0.121</v>
      </c>
      <c r="R157" s="1">
        <v>266.7</v>
      </c>
      <c r="S157" s="1">
        <v>200.5</v>
      </c>
      <c r="T157" s="1">
        <v>81.5</v>
      </c>
      <c r="U157" s="1">
        <v>119.1</v>
      </c>
      <c r="V157" s="1">
        <v>103.4</v>
      </c>
      <c r="W157" s="1">
        <v>159</v>
      </c>
      <c r="X157" s="1">
        <v>65.400000000000006</v>
      </c>
      <c r="Y157">
        <v>0.15</v>
      </c>
      <c r="Z157">
        <v>1.2569999999999999</v>
      </c>
      <c r="AA157" s="4">
        <v>0.20499999999999999</v>
      </c>
      <c r="AB157" s="4">
        <v>0.77300000000000002</v>
      </c>
      <c r="AC157" s="4">
        <v>0.33700000000000002</v>
      </c>
      <c r="AD157" s="12">
        <v>22547.4</v>
      </c>
      <c r="AE157" s="1">
        <v>-2781.4265</v>
      </c>
      <c r="AF157" s="16">
        <f t="shared" si="38"/>
        <v>342</v>
      </c>
      <c r="AG157" s="4">
        <f t="shared" si="45"/>
        <v>3.2202231773372518</v>
      </c>
      <c r="AH157" s="5">
        <f t="shared" si="46"/>
        <v>0.40316085971691207</v>
      </c>
      <c r="AI157" s="4">
        <f t="shared" si="39"/>
        <v>0.69405894026517079</v>
      </c>
      <c r="AJ157" s="4">
        <f t="shared" si="40"/>
        <v>0.597780625624032</v>
      </c>
      <c r="AK157" s="14">
        <f t="shared" si="41"/>
        <v>22703.892245497351</v>
      </c>
      <c r="AL157" s="14">
        <f t="shared" si="42"/>
        <v>-2798.0533287329727</v>
      </c>
      <c r="AM157" s="15">
        <f t="shared" si="43"/>
        <v>1.0069405894026517</v>
      </c>
      <c r="AN157" s="15">
        <f t="shared" si="44"/>
        <v>1.0059778062562403</v>
      </c>
    </row>
    <row r="158" spans="1:40" x14ac:dyDescent="0.2">
      <c r="A158">
        <v>159129</v>
      </c>
      <c r="B158">
        <v>1988</v>
      </c>
      <c r="C158">
        <v>287</v>
      </c>
      <c r="D158" t="s">
        <v>43</v>
      </c>
      <c r="E158" t="s">
        <v>42</v>
      </c>
      <c r="F158">
        <v>3413</v>
      </c>
      <c r="G158" s="1">
        <v>803.1</v>
      </c>
      <c r="H158">
        <v>504</v>
      </c>
      <c r="I158" s="2">
        <v>43446</v>
      </c>
      <c r="J158">
        <v>2220</v>
      </c>
      <c r="K158">
        <v>0</v>
      </c>
      <c r="L158" s="1">
        <v>84.1</v>
      </c>
      <c r="M158" s="1">
        <v>923.3</v>
      </c>
      <c r="N158" s="1">
        <v>106.8</v>
      </c>
      <c r="O158" s="3">
        <v>7.6080000000000002E-3</v>
      </c>
      <c r="P158" s="4">
        <v>0.98299999999999998</v>
      </c>
      <c r="Q158" s="4">
        <v>0.17799999999999999</v>
      </c>
      <c r="R158" s="1">
        <v>220.5</v>
      </c>
      <c r="S158" s="1">
        <v>724.7</v>
      </c>
      <c r="T158" s="1">
        <v>292.10000000000002</v>
      </c>
      <c r="U158" s="1">
        <v>432.6</v>
      </c>
      <c r="V158" s="1">
        <v>142.5</v>
      </c>
      <c r="W158" s="1">
        <v>176.2</v>
      </c>
      <c r="X158" s="1">
        <v>119.7</v>
      </c>
      <c r="Y158">
        <v>0.20399999999999999</v>
      </c>
      <c r="Z158">
        <v>1.41</v>
      </c>
      <c r="AA158" s="4">
        <v>0.23100000000000001</v>
      </c>
      <c r="AB158" s="4">
        <v>0.68200000000000005</v>
      </c>
      <c r="AC158" s="4">
        <v>0.28599999999999998</v>
      </c>
      <c r="AD158" s="12">
        <v>34634.9</v>
      </c>
      <c r="AE158" s="1">
        <v>-8082.0293000000001</v>
      </c>
      <c r="AF158" s="16">
        <f t="shared" si="38"/>
        <v>342</v>
      </c>
      <c r="AG158" s="4">
        <f t="shared" si="45"/>
        <v>3.2202231773372518</v>
      </c>
      <c r="AH158" s="5">
        <f t="shared" si="46"/>
        <v>0.40316085971691207</v>
      </c>
      <c r="AI158" s="4">
        <f t="shared" si="39"/>
        <v>0.69405894026517079</v>
      </c>
      <c r="AJ158" s="4">
        <f t="shared" si="40"/>
        <v>0.597780625624032</v>
      </c>
      <c r="AK158" s="14">
        <f t="shared" si="41"/>
        <v>34875.286619901904</v>
      </c>
      <c r="AL158" s="14">
        <f t="shared" si="42"/>
        <v>-8130.3421053126576</v>
      </c>
      <c r="AM158" s="15">
        <f t="shared" si="43"/>
        <v>1.0069405894026517</v>
      </c>
      <c r="AN158" s="15">
        <f t="shared" si="44"/>
        <v>1.0059778062562403</v>
      </c>
    </row>
    <row r="159" spans="1:40" x14ac:dyDescent="0.2">
      <c r="A159">
        <v>159130</v>
      </c>
      <c r="B159">
        <v>1996</v>
      </c>
      <c r="C159">
        <v>288</v>
      </c>
      <c r="D159" t="s">
        <v>40</v>
      </c>
      <c r="E159" t="s">
        <v>44</v>
      </c>
      <c r="F159">
        <v>3413</v>
      </c>
      <c r="G159" s="1">
        <v>357.7</v>
      </c>
      <c r="H159">
        <v>336</v>
      </c>
      <c r="I159" s="2">
        <v>43447</v>
      </c>
      <c r="J159">
        <v>2223</v>
      </c>
      <c r="K159">
        <v>0</v>
      </c>
      <c r="L159" s="1">
        <v>62.6</v>
      </c>
      <c r="M159" s="1">
        <v>826.4</v>
      </c>
      <c r="N159" s="1">
        <v>75.2</v>
      </c>
      <c r="O159" s="3">
        <v>4.836E-3</v>
      </c>
      <c r="P159" s="4">
        <v>1.0660000000000001</v>
      </c>
      <c r="Q159" s="4">
        <v>0.156</v>
      </c>
      <c r="R159" s="1">
        <v>285.39999999999998</v>
      </c>
      <c r="S159" s="1">
        <v>299.3</v>
      </c>
      <c r="T159" s="1">
        <v>121.3</v>
      </c>
      <c r="U159" s="1">
        <v>178</v>
      </c>
      <c r="V159" s="1">
        <v>177.3</v>
      </c>
      <c r="W159" s="1">
        <v>226.5</v>
      </c>
      <c r="X159" s="1">
        <v>144</v>
      </c>
      <c r="Y159">
        <v>0.25800000000000001</v>
      </c>
      <c r="Z159">
        <v>1.589</v>
      </c>
      <c r="AA159" s="4">
        <v>0.22500000000000001</v>
      </c>
      <c r="AB159" s="4">
        <v>0.57699999999999996</v>
      </c>
      <c r="AC159" s="4">
        <v>0.22600000000000001</v>
      </c>
      <c r="AD159" s="12">
        <v>30813</v>
      </c>
      <c r="AE159" s="1">
        <v>-4568.3760000000002</v>
      </c>
      <c r="AF159" s="16">
        <f t="shared" si="38"/>
        <v>343</v>
      </c>
      <c r="AG159" s="4">
        <f t="shared" si="45"/>
        <v>3.3159052619518086</v>
      </c>
      <c r="AH159" s="5">
        <f t="shared" si="46"/>
        <v>0.41513992743004124</v>
      </c>
      <c r="AI159" s="4">
        <f t="shared" si="39"/>
        <v>0.71695297510647193</v>
      </c>
      <c r="AJ159" s="4">
        <f t="shared" si="40"/>
        <v>0.61923333903808941</v>
      </c>
      <c r="AK159" s="14">
        <f t="shared" si="41"/>
        <v>31033.91472021956</v>
      </c>
      <c r="AL159" s="14">
        <f t="shared" si="42"/>
        <v>-4596.6649072446144</v>
      </c>
      <c r="AM159" s="15">
        <f t="shared" si="43"/>
        <v>1.0071695297510648</v>
      </c>
      <c r="AN159" s="15">
        <f t="shared" si="44"/>
        <v>1.0061923333903808</v>
      </c>
    </row>
    <row r="160" spans="1:40" x14ac:dyDescent="0.2">
      <c r="A160">
        <v>159130</v>
      </c>
      <c r="B160">
        <v>1996</v>
      </c>
      <c r="C160">
        <v>288</v>
      </c>
      <c r="D160" t="s">
        <v>40</v>
      </c>
      <c r="E160" t="s">
        <v>45</v>
      </c>
      <c r="F160">
        <v>3413</v>
      </c>
      <c r="G160" s="1">
        <v>1307.3</v>
      </c>
      <c r="H160">
        <v>504</v>
      </c>
      <c r="I160" s="2">
        <v>43447</v>
      </c>
      <c r="J160">
        <v>2225</v>
      </c>
      <c r="K160">
        <v>0</v>
      </c>
      <c r="L160" s="1">
        <v>88.2</v>
      </c>
      <c r="M160" s="1">
        <v>771.3</v>
      </c>
      <c r="N160" s="1">
        <v>137.19999999999999</v>
      </c>
      <c r="O160" s="3">
        <v>1.5744999999999999E-2</v>
      </c>
      <c r="P160" s="4">
        <v>0.83899999999999997</v>
      </c>
      <c r="Q160" s="4">
        <v>0.182</v>
      </c>
      <c r="R160" s="1">
        <v>241.3</v>
      </c>
      <c r="S160" s="1">
        <v>1226.5</v>
      </c>
      <c r="T160" s="1">
        <v>493.3</v>
      </c>
      <c r="U160" s="1">
        <v>733.1</v>
      </c>
      <c r="V160" s="1">
        <v>205.5</v>
      </c>
      <c r="W160" s="1">
        <v>226.1</v>
      </c>
      <c r="X160" s="1">
        <v>191.6</v>
      </c>
      <c r="Y160">
        <v>0.30199999999999999</v>
      </c>
      <c r="Z160">
        <v>1.633</v>
      </c>
      <c r="AA160" s="4">
        <v>0.24399999999999999</v>
      </c>
      <c r="AB160" s="4">
        <v>0.56100000000000005</v>
      </c>
      <c r="AC160" s="4">
        <v>0.23599999999999999</v>
      </c>
      <c r="AD160" s="12">
        <v>57810.5</v>
      </c>
      <c r="AE160" s="1">
        <v>-15270.148999999999</v>
      </c>
      <c r="AF160" s="16">
        <f t="shared" si="38"/>
        <v>343</v>
      </c>
      <c r="AG160" s="4">
        <f t="shared" si="45"/>
        <v>3.3159052619518086</v>
      </c>
      <c r="AH160" s="5">
        <f t="shared" si="46"/>
        <v>0.41513992743004124</v>
      </c>
      <c r="AI160" s="4">
        <f t="shared" si="39"/>
        <v>0.71695297510647193</v>
      </c>
      <c r="AJ160" s="4">
        <f t="shared" si="40"/>
        <v>0.61923333903808941</v>
      </c>
      <c r="AK160" s="14">
        <f t="shared" si="41"/>
        <v>58224.974099673927</v>
      </c>
      <c r="AL160" s="14">
        <f t="shared" si="42"/>
        <v>-15364.706853528791</v>
      </c>
      <c r="AM160" s="15">
        <f t="shared" si="43"/>
        <v>1.0071695297510648</v>
      </c>
      <c r="AN160" s="15">
        <f t="shared" si="44"/>
        <v>1.0061923333903808</v>
      </c>
    </row>
    <row r="161" spans="1:40" x14ac:dyDescent="0.2">
      <c r="A161">
        <v>159131</v>
      </c>
      <c r="B161">
        <v>1994</v>
      </c>
      <c r="C161">
        <v>289</v>
      </c>
      <c r="D161" t="s">
        <v>43</v>
      </c>
      <c r="E161" t="s">
        <v>44</v>
      </c>
      <c r="F161">
        <v>3413</v>
      </c>
      <c r="G161">
        <v>260.8</v>
      </c>
      <c r="H161">
        <v>336</v>
      </c>
      <c r="I161" s="2">
        <v>43448</v>
      </c>
      <c r="J161">
        <v>2230</v>
      </c>
      <c r="K161">
        <v>0</v>
      </c>
      <c r="L161">
        <v>48.2</v>
      </c>
      <c r="M161">
        <v>919.5</v>
      </c>
      <c r="N161">
        <v>63.3</v>
      </c>
      <c r="O161">
        <v>2.3189999999999999E-3</v>
      </c>
      <c r="P161">
        <v>0.97799999999999998</v>
      </c>
      <c r="Q161">
        <v>0.14199999999999999</v>
      </c>
      <c r="R161">
        <v>269.2</v>
      </c>
      <c r="S161">
        <v>216.1</v>
      </c>
      <c r="T161">
        <v>87.8</v>
      </c>
      <c r="U161">
        <v>128.4</v>
      </c>
      <c r="V161">
        <v>129.6</v>
      </c>
      <c r="W161">
        <v>178.7</v>
      </c>
      <c r="X161">
        <v>95.9</v>
      </c>
      <c r="Y161">
        <v>0.19</v>
      </c>
      <c r="Z161">
        <v>1.3080000000000001</v>
      </c>
      <c r="AA161">
        <v>0.215</v>
      </c>
      <c r="AB161">
        <v>0.72699999999999998</v>
      </c>
      <c r="AC161">
        <v>0.28399999999999997</v>
      </c>
      <c r="AD161" s="12">
        <v>22342</v>
      </c>
      <c r="AE161" s="1">
        <v>-2892.2903000000001</v>
      </c>
      <c r="AF161" s="16">
        <f t="shared" si="38"/>
        <v>344</v>
      </c>
      <c r="AG161" s="4">
        <f t="shared" si="45"/>
        <v>3.4144303362636692</v>
      </c>
      <c r="AH161" s="5">
        <f t="shared" si="46"/>
        <v>0.42747492766939965</v>
      </c>
      <c r="AI161" s="4">
        <f t="shared" si="39"/>
        <v>0.74052725751392656</v>
      </c>
      <c r="AJ161" s="4">
        <f t="shared" si="40"/>
        <v>0.6413234742167444</v>
      </c>
      <c r="AK161" s="14">
        <f t="shared" si="41"/>
        <v>22507.448599873762</v>
      </c>
      <c r="AL161" s="14">
        <f t="shared" si="42"/>
        <v>-2910.8392366363942</v>
      </c>
      <c r="AM161" s="15">
        <f t="shared" si="43"/>
        <v>1.0074052725751392</v>
      </c>
      <c r="AN161" s="15">
        <f t="shared" si="44"/>
        <v>1.0064132347421675</v>
      </c>
    </row>
    <row r="162" spans="1:40" x14ac:dyDescent="0.2">
      <c r="A162">
        <v>159131</v>
      </c>
      <c r="B162">
        <v>1994</v>
      </c>
      <c r="C162">
        <v>289</v>
      </c>
      <c r="D162" t="s">
        <v>43</v>
      </c>
      <c r="E162" t="s">
        <v>45</v>
      </c>
      <c r="F162">
        <v>3413</v>
      </c>
      <c r="G162" s="1">
        <v>915.7</v>
      </c>
      <c r="H162">
        <v>504</v>
      </c>
      <c r="I162" s="2">
        <v>43448</v>
      </c>
      <c r="J162">
        <v>2231</v>
      </c>
      <c r="K162">
        <v>0</v>
      </c>
      <c r="L162" s="1">
        <v>72.3</v>
      </c>
      <c r="M162" s="1">
        <v>868.8</v>
      </c>
      <c r="N162" s="1">
        <v>112.9</v>
      </c>
      <c r="O162" s="3">
        <v>8.9870000000000002E-3</v>
      </c>
      <c r="P162" s="4">
        <v>0.80400000000000005</v>
      </c>
      <c r="Q162" s="4">
        <v>0.186</v>
      </c>
      <c r="R162" s="1">
        <v>205.3</v>
      </c>
      <c r="S162" s="1">
        <v>849.5</v>
      </c>
      <c r="T162" s="1">
        <v>342.3</v>
      </c>
      <c r="U162" s="1">
        <v>507.2</v>
      </c>
      <c r="V162" s="1">
        <v>152.1</v>
      </c>
      <c r="W162" s="1">
        <v>169.2</v>
      </c>
      <c r="X162" s="1">
        <v>140.69999999999999</v>
      </c>
      <c r="Y162">
        <v>0.22700000000000001</v>
      </c>
      <c r="Z162">
        <v>1.3089999999999999</v>
      </c>
      <c r="AA162" s="4">
        <v>0.23300000000000001</v>
      </c>
      <c r="AB162" s="4">
        <v>0.72</v>
      </c>
      <c r="AC162" s="4">
        <v>0.30499999999999999</v>
      </c>
      <c r="AD162" s="12">
        <v>33886.800000000003</v>
      </c>
      <c r="AE162" s="1">
        <v>-8487.3456999999999</v>
      </c>
      <c r="AF162" s="16">
        <f t="shared" si="38"/>
        <v>344</v>
      </c>
      <c r="AG162" s="4">
        <f t="shared" si="45"/>
        <v>3.4144303362636692</v>
      </c>
      <c r="AH162" s="5">
        <f t="shared" si="46"/>
        <v>0.42747492766939965</v>
      </c>
      <c r="AI162" s="4">
        <f t="shared" si="39"/>
        <v>0.74052725751392656</v>
      </c>
      <c r="AJ162" s="4">
        <f t="shared" si="40"/>
        <v>0.6413234742167444</v>
      </c>
      <c r="AK162" s="14">
        <f t="shared" si="41"/>
        <v>34137.740990699232</v>
      </c>
      <c r="AL162" s="14">
        <f t="shared" si="42"/>
        <v>-8541.7770403120248</v>
      </c>
      <c r="AM162" s="15">
        <f t="shared" si="43"/>
        <v>1.0074052725751392</v>
      </c>
      <c r="AN162" s="15">
        <f t="shared" si="44"/>
        <v>1.0064132347421675</v>
      </c>
    </row>
    <row r="163" spans="1:40" x14ac:dyDescent="0.2">
      <c r="A163">
        <v>159127</v>
      </c>
      <c r="B163">
        <v>1993</v>
      </c>
      <c r="C163">
        <v>290</v>
      </c>
      <c r="D163" t="s">
        <v>43</v>
      </c>
      <c r="E163" t="s">
        <v>41</v>
      </c>
      <c r="F163">
        <v>3413</v>
      </c>
      <c r="G163" s="1">
        <v>335.7</v>
      </c>
      <c r="H163">
        <v>336</v>
      </c>
      <c r="I163" s="2">
        <v>43448</v>
      </c>
      <c r="J163">
        <v>2234</v>
      </c>
      <c r="K163">
        <v>0</v>
      </c>
      <c r="L163" s="1">
        <v>44.6</v>
      </c>
      <c r="M163" s="1">
        <v>876.3</v>
      </c>
      <c r="N163" s="1">
        <v>73.5</v>
      </c>
      <c r="O163" s="3">
        <v>1.799E-3</v>
      </c>
      <c r="P163" s="4">
        <v>0.71</v>
      </c>
      <c r="Q163" s="4">
        <v>0.13900000000000001</v>
      </c>
      <c r="R163" s="1">
        <v>199.1</v>
      </c>
      <c r="S163" s="1">
        <v>295.2</v>
      </c>
      <c r="T163" s="1">
        <v>119.6</v>
      </c>
      <c r="U163" s="1">
        <v>175.5</v>
      </c>
      <c r="V163" s="1">
        <v>103.6</v>
      </c>
      <c r="W163" s="1">
        <v>159.4</v>
      </c>
      <c r="X163" s="1">
        <v>65.599999999999994</v>
      </c>
      <c r="Y163">
        <v>0.14199999999999999</v>
      </c>
      <c r="Z163">
        <v>1.363</v>
      </c>
      <c r="AA163" s="4">
        <v>0.19</v>
      </c>
      <c r="AB163" s="4">
        <v>0.71499999999999997</v>
      </c>
      <c r="AC163" s="4">
        <v>0.248</v>
      </c>
      <c r="AD163" s="12">
        <v>19386.7</v>
      </c>
      <c r="AE163" s="1">
        <v>-2823.2908000000002</v>
      </c>
      <c r="AF163" s="16">
        <f t="shared" ref="AF163:AF174" si="47">I163-$AF$2</f>
        <v>344</v>
      </c>
      <c r="AG163" s="4">
        <f t="shared" si="45"/>
        <v>3.4144303362636692</v>
      </c>
      <c r="AH163" s="5">
        <f t="shared" si="46"/>
        <v>0.42747492766939965</v>
      </c>
      <c r="AI163" s="4">
        <f t="shared" ref="AI163:AI174" si="48">AH163*1.91117-0.07645</f>
        <v>0.74052725751392656</v>
      </c>
      <c r="AJ163" s="4">
        <f t="shared" ref="AJ163:AJ174" si="49">AH163*1.79085-0.12422</f>
        <v>0.6413234742167444</v>
      </c>
      <c r="AK163" s="14">
        <f t="shared" ref="AK163:AK174" si="50">AD163*(1+AI163/100)</f>
        <v>19530.263797832453</v>
      </c>
      <c r="AL163" s="14">
        <f t="shared" ref="AL163:AL174" si="51">AE163*(1+AJ163/100)</f>
        <v>-2841.3972266458022</v>
      </c>
      <c r="AM163" s="15">
        <f t="shared" ref="AM163:AM174" si="52">AK163/AD163</f>
        <v>1.0074052725751392</v>
      </c>
      <c r="AN163" s="15">
        <f t="shared" ref="AN163:AN174" si="53">AL163/AE163</f>
        <v>1.0064132347421675</v>
      </c>
    </row>
    <row r="164" spans="1:40" x14ac:dyDescent="0.2">
      <c r="A164">
        <v>159127</v>
      </c>
      <c r="B164">
        <v>1993</v>
      </c>
      <c r="C164">
        <v>290</v>
      </c>
      <c r="D164" t="s">
        <v>43</v>
      </c>
      <c r="E164" t="s">
        <v>42</v>
      </c>
      <c r="F164">
        <v>3413</v>
      </c>
      <c r="G164" s="1">
        <v>1151.5</v>
      </c>
      <c r="H164">
        <v>504</v>
      </c>
      <c r="I164" s="2">
        <v>43448</v>
      </c>
      <c r="J164">
        <v>2235</v>
      </c>
      <c r="K164">
        <v>0</v>
      </c>
      <c r="L164" s="1">
        <v>78.400000000000006</v>
      </c>
      <c r="M164" s="1">
        <v>799.7</v>
      </c>
      <c r="N164" s="1">
        <v>129.4</v>
      </c>
      <c r="O164" s="3">
        <v>1.6118E-2</v>
      </c>
      <c r="P164" s="4">
        <v>0.77600000000000002</v>
      </c>
      <c r="Q164" s="4">
        <v>0.20599999999999999</v>
      </c>
      <c r="R164" s="1">
        <v>219.5</v>
      </c>
      <c r="S164" s="1">
        <v>1079.9000000000001</v>
      </c>
      <c r="T164" s="1">
        <v>434.5</v>
      </c>
      <c r="U164" s="1">
        <v>645.29999999999995</v>
      </c>
      <c r="V164" s="1">
        <v>180.2</v>
      </c>
      <c r="W164" s="1">
        <v>207.8</v>
      </c>
      <c r="X164" s="1">
        <v>161.69999999999999</v>
      </c>
      <c r="Y164">
        <v>0.26100000000000001</v>
      </c>
      <c r="Z164">
        <v>1.5940000000000001</v>
      </c>
      <c r="AA164" s="4">
        <v>0.23100000000000001</v>
      </c>
      <c r="AB164" s="4">
        <v>0.58299999999999996</v>
      </c>
      <c r="AC164" s="4">
        <v>0.23699999999999999</v>
      </c>
      <c r="AD164" s="12">
        <v>42921.8</v>
      </c>
      <c r="AE164" s="1">
        <v>-11071.605</v>
      </c>
      <c r="AF164" s="16">
        <f t="shared" si="47"/>
        <v>344</v>
      </c>
      <c r="AG164" s="4">
        <f t="shared" ref="AG164:AG174" si="54">0.0001442*EXP(0.02928*AF164)</f>
        <v>3.4144303362636692</v>
      </c>
      <c r="AH164" s="5">
        <f t="shared" ref="AH164:AH174" si="55">AG164/798.744*100</f>
        <v>0.42747492766939965</v>
      </c>
      <c r="AI164" s="4">
        <f t="shared" si="48"/>
        <v>0.74052725751392656</v>
      </c>
      <c r="AJ164" s="4">
        <f t="shared" si="49"/>
        <v>0.6413234742167444</v>
      </c>
      <c r="AK164" s="14">
        <f t="shared" si="50"/>
        <v>43239.647628415616</v>
      </c>
      <c r="AL164" s="14">
        <f t="shared" si="51"/>
        <v>-11142.609801837554</v>
      </c>
      <c r="AM164" s="15">
        <f t="shared" si="52"/>
        <v>1.0074052725751392</v>
      </c>
      <c r="AN164" s="15">
        <f t="shared" si="53"/>
        <v>1.0064132347421675</v>
      </c>
    </row>
    <row r="165" spans="1:40" x14ac:dyDescent="0.2">
      <c r="A165">
        <v>159190</v>
      </c>
      <c r="B165">
        <v>1997</v>
      </c>
      <c r="C165">
        <v>291</v>
      </c>
      <c r="D165" t="s">
        <v>40</v>
      </c>
      <c r="E165" t="s">
        <v>41</v>
      </c>
      <c r="F165">
        <v>3413</v>
      </c>
      <c r="G165" s="1">
        <v>305.5</v>
      </c>
      <c r="H165">
        <v>336</v>
      </c>
      <c r="I165" s="2">
        <v>43451</v>
      </c>
      <c r="J165">
        <v>2241</v>
      </c>
      <c r="K165">
        <v>0</v>
      </c>
      <c r="L165" s="1">
        <v>91.1</v>
      </c>
      <c r="M165" s="1">
        <v>879.2</v>
      </c>
      <c r="N165" s="1">
        <v>69.400000000000006</v>
      </c>
      <c r="O165" s="3">
        <v>1.6098000000000001E-2</v>
      </c>
      <c r="P165" s="4">
        <v>1.74</v>
      </c>
      <c r="Q165" s="4">
        <v>0.18</v>
      </c>
      <c r="R165" s="1">
        <v>431.4</v>
      </c>
      <c r="S165" s="1">
        <v>218.2</v>
      </c>
      <c r="T165" s="1">
        <v>88.6</v>
      </c>
      <c r="U165" s="1">
        <v>129.6</v>
      </c>
      <c r="V165" s="1">
        <v>248.6</v>
      </c>
      <c r="W165" s="1">
        <v>299.5</v>
      </c>
      <c r="X165" s="1">
        <v>213.7</v>
      </c>
      <c r="Y165">
        <v>0.35899999999999999</v>
      </c>
      <c r="Z165">
        <v>1.619</v>
      </c>
      <c r="AA165" s="4">
        <v>0.26500000000000001</v>
      </c>
      <c r="AB165" s="4">
        <v>0.52100000000000002</v>
      </c>
      <c r="AC165" s="4">
        <v>0.20399999999999999</v>
      </c>
      <c r="AD165" s="12">
        <v>55956.1</v>
      </c>
      <c r="AE165" s="1">
        <v>-9762.1836000000003</v>
      </c>
      <c r="AF165" s="16">
        <f t="shared" si="47"/>
        <v>347</v>
      </c>
      <c r="AG165" s="4">
        <f t="shared" si="54"/>
        <v>3.7279208556358365</v>
      </c>
      <c r="AH165" s="5">
        <f t="shared" si="55"/>
        <v>0.46672286184758027</v>
      </c>
      <c r="AI165" s="4">
        <f t="shared" si="48"/>
        <v>0.81553673187723996</v>
      </c>
      <c r="AJ165" s="4">
        <f t="shared" si="49"/>
        <v>0.71161063713973916</v>
      </c>
      <c r="AK165" s="14">
        <f t="shared" si="50"/>
        <v>56412.442549225962</v>
      </c>
      <c r="AL165" s="14">
        <f t="shared" si="51"/>
        <v>-9831.6523369147108</v>
      </c>
      <c r="AM165" s="15">
        <f t="shared" si="52"/>
        <v>1.0081553673187724</v>
      </c>
      <c r="AN165" s="15">
        <f t="shared" si="53"/>
        <v>1.0071161063713974</v>
      </c>
    </row>
    <row r="166" spans="1:40" x14ac:dyDescent="0.2">
      <c r="A166">
        <v>159190</v>
      </c>
      <c r="B166">
        <v>1997</v>
      </c>
      <c r="C166">
        <v>291</v>
      </c>
      <c r="D166" t="s">
        <v>40</v>
      </c>
      <c r="E166" t="s">
        <v>42</v>
      </c>
      <c r="F166">
        <v>3413</v>
      </c>
      <c r="G166" s="1">
        <v>820.4</v>
      </c>
      <c r="H166">
        <v>502</v>
      </c>
      <c r="I166" s="2">
        <v>43451</v>
      </c>
      <c r="J166">
        <v>2243</v>
      </c>
      <c r="K166">
        <v>0</v>
      </c>
      <c r="L166" s="1">
        <v>121.6</v>
      </c>
      <c r="M166" s="1">
        <v>860.3</v>
      </c>
      <c r="N166" s="1">
        <v>106.8</v>
      </c>
      <c r="O166" s="3">
        <v>2.1406999999999999E-2</v>
      </c>
      <c r="P166" s="4">
        <v>1.496</v>
      </c>
      <c r="Q166" s="4">
        <v>0.20300000000000001</v>
      </c>
      <c r="R166" s="1">
        <v>356.1</v>
      </c>
      <c r="S166" s="1">
        <v>706.2</v>
      </c>
      <c r="T166" s="1">
        <v>284.39999999999998</v>
      </c>
      <c r="U166" s="1">
        <v>421.8</v>
      </c>
      <c r="V166" s="1">
        <v>271.89999999999998</v>
      </c>
      <c r="W166" s="1">
        <v>309.5</v>
      </c>
      <c r="X166" s="1">
        <v>246.5</v>
      </c>
      <c r="Y166">
        <v>0.39600000000000002</v>
      </c>
      <c r="Z166">
        <v>1.69</v>
      </c>
      <c r="AA166" s="4">
        <v>0.29599999999999999</v>
      </c>
      <c r="AB166" s="4">
        <v>0.53300000000000003</v>
      </c>
      <c r="AC166" s="4">
        <v>0.25800000000000001</v>
      </c>
      <c r="AD166" s="12">
        <v>70308.600000000006</v>
      </c>
      <c r="AE166" s="1">
        <v>-18519.080000000002</v>
      </c>
      <c r="AF166" s="16">
        <f t="shared" si="47"/>
        <v>347</v>
      </c>
      <c r="AG166" s="4">
        <f t="shared" si="54"/>
        <v>3.7279208556358365</v>
      </c>
      <c r="AH166" s="5">
        <f t="shared" si="55"/>
        <v>0.46672286184758027</v>
      </c>
      <c r="AI166" s="4">
        <f t="shared" si="48"/>
        <v>0.81553673187723996</v>
      </c>
      <c r="AJ166" s="4">
        <f t="shared" si="49"/>
        <v>0.71161063713973916</v>
      </c>
      <c r="AK166" s="14">
        <f t="shared" si="50"/>
        <v>70881.992458668654</v>
      </c>
      <c r="AL166" s="14">
        <f t="shared" si="51"/>
        <v>-18650.86374318042</v>
      </c>
      <c r="AM166" s="15">
        <f t="shared" si="52"/>
        <v>1.0081553673187724</v>
      </c>
      <c r="AN166" s="15">
        <f t="shared" si="53"/>
        <v>1.0071161063713974</v>
      </c>
    </row>
    <row r="167" spans="1:40" x14ac:dyDescent="0.2">
      <c r="A167">
        <v>159191</v>
      </c>
      <c r="B167">
        <v>1981</v>
      </c>
      <c r="C167">
        <v>292</v>
      </c>
      <c r="D167" t="s">
        <v>40</v>
      </c>
      <c r="E167" t="s">
        <v>41</v>
      </c>
      <c r="F167">
        <v>3413</v>
      </c>
      <c r="G167" s="1">
        <v>295.5</v>
      </c>
      <c r="H167">
        <v>336</v>
      </c>
      <c r="I167" s="2">
        <v>43451</v>
      </c>
      <c r="J167">
        <v>2246</v>
      </c>
      <c r="K167">
        <v>0</v>
      </c>
      <c r="L167" s="1">
        <v>50.8</v>
      </c>
      <c r="M167" s="1">
        <v>871.1</v>
      </c>
      <c r="N167" s="1">
        <v>69.5</v>
      </c>
      <c r="O167" s="3">
        <v>4.1399999999999996E-3</v>
      </c>
      <c r="P167" s="4">
        <v>0.94299999999999995</v>
      </c>
      <c r="Q167" s="4">
        <v>0.14899999999999999</v>
      </c>
      <c r="R167" s="1">
        <v>301.8</v>
      </c>
      <c r="S167" s="1">
        <v>248.6</v>
      </c>
      <c r="T167" s="1">
        <v>100.9</v>
      </c>
      <c r="U167" s="1">
        <v>147.69999999999999</v>
      </c>
      <c r="V167" s="1">
        <v>189.7</v>
      </c>
      <c r="W167" s="1">
        <v>238.8</v>
      </c>
      <c r="X167" s="1">
        <v>156.19999999999999</v>
      </c>
      <c r="Y167">
        <v>0.26300000000000001</v>
      </c>
      <c r="Z167">
        <v>1.899</v>
      </c>
      <c r="AA167" s="4">
        <v>0.214</v>
      </c>
      <c r="AB167" s="4">
        <v>0.49</v>
      </c>
      <c r="AC167" s="4">
        <v>0.19400000000000001</v>
      </c>
      <c r="AD167" s="12">
        <v>30681.599999999999</v>
      </c>
      <c r="AE167" s="1">
        <v>-4680.7852000000003</v>
      </c>
      <c r="AF167" s="16">
        <f t="shared" si="47"/>
        <v>347</v>
      </c>
      <c r="AG167" s="4">
        <f t="shared" si="54"/>
        <v>3.7279208556358365</v>
      </c>
      <c r="AH167" s="5">
        <f t="shared" si="55"/>
        <v>0.46672286184758027</v>
      </c>
      <c r="AI167" s="4">
        <f t="shared" si="48"/>
        <v>0.81553673187723996</v>
      </c>
      <c r="AJ167" s="4">
        <f t="shared" si="49"/>
        <v>0.71161063713973916</v>
      </c>
      <c r="AK167" s="14">
        <f t="shared" si="50"/>
        <v>30931.819717927647</v>
      </c>
      <c r="AL167" s="14">
        <f t="shared" si="51"/>
        <v>-4714.0941653848631</v>
      </c>
      <c r="AM167" s="15">
        <f t="shared" si="52"/>
        <v>1.0081553673187724</v>
      </c>
      <c r="AN167" s="15">
        <f t="shared" si="53"/>
        <v>1.0071161063713974</v>
      </c>
    </row>
    <row r="168" spans="1:40" x14ac:dyDescent="0.2">
      <c r="A168">
        <v>159191</v>
      </c>
      <c r="B168">
        <v>1981</v>
      </c>
      <c r="C168">
        <v>292</v>
      </c>
      <c r="D168" t="s">
        <v>40</v>
      </c>
      <c r="E168" t="s">
        <v>42</v>
      </c>
      <c r="F168">
        <v>3413</v>
      </c>
      <c r="G168" s="1">
        <v>958.5</v>
      </c>
      <c r="H168">
        <v>504</v>
      </c>
      <c r="I168" s="2">
        <v>43451</v>
      </c>
      <c r="J168">
        <v>2248</v>
      </c>
      <c r="K168">
        <v>0</v>
      </c>
      <c r="L168" s="1">
        <v>91.7</v>
      </c>
      <c r="M168" s="1">
        <v>784.4</v>
      </c>
      <c r="N168" s="1">
        <v>116.6</v>
      </c>
      <c r="O168" s="3">
        <v>2.8820999999999999E-2</v>
      </c>
      <c r="P168" s="4">
        <v>1.0269999999999999</v>
      </c>
      <c r="Q168" s="4">
        <v>0.19900000000000001</v>
      </c>
      <c r="R168" s="1">
        <v>289.2</v>
      </c>
      <c r="S168" s="1">
        <v>873</v>
      </c>
      <c r="T168" s="1">
        <v>351.6</v>
      </c>
      <c r="U168" s="1">
        <v>521.4</v>
      </c>
      <c r="V168" s="1">
        <v>239.2</v>
      </c>
      <c r="W168" s="1">
        <v>271.3</v>
      </c>
      <c r="X168" s="1">
        <v>217.6</v>
      </c>
      <c r="Y168">
        <v>0.35099999999999998</v>
      </c>
      <c r="Z168">
        <v>1.9390000000000001</v>
      </c>
      <c r="AA168" s="4">
        <v>0.24199999999999999</v>
      </c>
      <c r="AB168" s="4">
        <v>0.46300000000000002</v>
      </c>
      <c r="AC168" s="4">
        <v>0.2</v>
      </c>
      <c r="AD168" s="12">
        <v>56563</v>
      </c>
      <c r="AE168" s="1">
        <v>-15624.977999999999</v>
      </c>
      <c r="AF168" s="16">
        <f t="shared" si="47"/>
        <v>347</v>
      </c>
      <c r="AG168" s="4">
        <f t="shared" si="54"/>
        <v>3.7279208556358365</v>
      </c>
      <c r="AH168" s="5">
        <f t="shared" si="55"/>
        <v>0.46672286184758027</v>
      </c>
      <c r="AI168" s="4">
        <f t="shared" si="48"/>
        <v>0.81553673187723996</v>
      </c>
      <c r="AJ168" s="4">
        <f t="shared" si="49"/>
        <v>0.71161063713973916</v>
      </c>
      <c r="AK168" s="14">
        <f t="shared" si="50"/>
        <v>57024.292041651723</v>
      </c>
      <c r="AL168" s="14">
        <f t="shared" si="51"/>
        <v>-15736.167005498743</v>
      </c>
      <c r="AM168" s="15">
        <f t="shared" si="52"/>
        <v>1.0081553673187724</v>
      </c>
      <c r="AN168" s="15">
        <f t="shared" si="53"/>
        <v>1.0071161063713974</v>
      </c>
    </row>
    <row r="169" spans="1:40" x14ac:dyDescent="0.2">
      <c r="A169">
        <v>159192</v>
      </c>
      <c r="B169">
        <v>1992</v>
      </c>
      <c r="C169">
        <v>293</v>
      </c>
      <c r="D169" t="s">
        <v>40</v>
      </c>
      <c r="E169" t="s">
        <v>41</v>
      </c>
      <c r="F169">
        <v>3413</v>
      </c>
      <c r="G169" s="1">
        <v>342.8</v>
      </c>
      <c r="H169">
        <v>336</v>
      </c>
      <c r="I169" s="2">
        <v>43452</v>
      </c>
      <c r="J169">
        <v>2251</v>
      </c>
      <c r="K169">
        <v>0</v>
      </c>
      <c r="L169" s="1">
        <v>79.8</v>
      </c>
      <c r="M169" s="1">
        <v>914.8</v>
      </c>
      <c r="N169" s="1">
        <v>76.099999999999994</v>
      </c>
      <c r="O169" s="3">
        <v>8.0510000000000009E-3</v>
      </c>
      <c r="P169" s="4">
        <v>1.2929999999999999</v>
      </c>
      <c r="Q169" s="4">
        <v>0.20399999999999999</v>
      </c>
      <c r="R169" s="1">
        <v>392.5</v>
      </c>
      <c r="S169" s="1">
        <v>267.10000000000002</v>
      </c>
      <c r="T169" s="1">
        <v>108.4</v>
      </c>
      <c r="U169" s="1">
        <v>158.69999999999999</v>
      </c>
      <c r="V169" s="1">
        <v>239.4</v>
      </c>
      <c r="W169" s="1">
        <v>286</v>
      </c>
      <c r="X169" s="1">
        <v>207.4</v>
      </c>
      <c r="Y169">
        <v>0.34799999999999998</v>
      </c>
      <c r="Z169">
        <v>1.6619999999999999</v>
      </c>
      <c r="AA169" s="4">
        <v>0.26200000000000001</v>
      </c>
      <c r="AB169" s="4">
        <v>0.52</v>
      </c>
      <c r="AC169" s="4">
        <v>0.20200000000000001</v>
      </c>
      <c r="AD169" s="12">
        <v>54641.9</v>
      </c>
      <c r="AE169" s="1">
        <v>-9010.0449000000008</v>
      </c>
      <c r="AF169" s="16">
        <f t="shared" si="47"/>
        <v>348</v>
      </c>
      <c r="AG169" s="4">
        <f t="shared" si="54"/>
        <v>3.8386880972530046</v>
      </c>
      <c r="AH169" s="5">
        <f t="shared" si="55"/>
        <v>0.48059053930333179</v>
      </c>
      <c r="AI169" s="4">
        <f t="shared" si="48"/>
        <v>0.84204022100034859</v>
      </c>
      <c r="AJ169" s="4">
        <f t="shared" si="49"/>
        <v>0.73644556731137178</v>
      </c>
      <c r="AK169" s="14">
        <f t="shared" si="50"/>
        <v>55102.006775518785</v>
      </c>
      <c r="AL169" s="14">
        <f t="shared" si="51"/>
        <v>-9076.3989762788133</v>
      </c>
      <c r="AM169" s="15">
        <f t="shared" si="52"/>
        <v>1.0084204022100034</v>
      </c>
      <c r="AN169" s="15">
        <f t="shared" si="53"/>
        <v>1.0073644556731136</v>
      </c>
    </row>
    <row r="170" spans="1:40" x14ac:dyDescent="0.2">
      <c r="A170">
        <v>159192</v>
      </c>
      <c r="B170">
        <v>1992</v>
      </c>
      <c r="C170">
        <v>293</v>
      </c>
      <c r="D170" t="s">
        <v>40</v>
      </c>
      <c r="E170" t="s">
        <v>42</v>
      </c>
      <c r="F170">
        <v>3413</v>
      </c>
      <c r="G170" s="1">
        <v>1094.4000000000001</v>
      </c>
      <c r="H170">
        <v>504</v>
      </c>
      <c r="I170" s="2">
        <v>43452</v>
      </c>
      <c r="J170">
        <v>2254</v>
      </c>
      <c r="K170">
        <v>0</v>
      </c>
      <c r="L170" s="1">
        <v>166.5</v>
      </c>
      <c r="M170" s="1">
        <v>851.1</v>
      </c>
      <c r="N170" s="1">
        <v>126.1</v>
      </c>
      <c r="O170" s="3">
        <v>2.9995000000000001E-2</v>
      </c>
      <c r="P170" s="4">
        <v>1.8939999999999999</v>
      </c>
      <c r="Q170" s="4">
        <v>0.219</v>
      </c>
      <c r="R170" s="1">
        <v>374.6</v>
      </c>
      <c r="S170" s="1">
        <v>934.9</v>
      </c>
      <c r="T170" s="1">
        <v>376.5</v>
      </c>
      <c r="U170" s="1">
        <v>558.4</v>
      </c>
      <c r="V170" s="1">
        <v>291</v>
      </c>
      <c r="W170" s="1">
        <v>322.2</v>
      </c>
      <c r="X170" s="1">
        <v>270</v>
      </c>
      <c r="Y170">
        <v>0.41499999999999998</v>
      </c>
      <c r="Z170">
        <v>1.873</v>
      </c>
      <c r="AA170" s="4">
        <v>0.314</v>
      </c>
      <c r="AB170" s="4">
        <v>0.47799999999999998</v>
      </c>
      <c r="AC170" s="4">
        <v>0.20899999999999999</v>
      </c>
      <c r="AD170" s="12">
        <v>95327.5</v>
      </c>
      <c r="AE170" s="1">
        <v>-24310.34</v>
      </c>
      <c r="AF170" s="16">
        <f t="shared" si="47"/>
        <v>348</v>
      </c>
      <c r="AG170" s="4">
        <f t="shared" si="54"/>
        <v>3.8386880972530046</v>
      </c>
      <c r="AH170" s="5">
        <f t="shared" si="55"/>
        <v>0.48059053930333179</v>
      </c>
      <c r="AI170" s="4">
        <f t="shared" si="48"/>
        <v>0.84204022100034859</v>
      </c>
      <c r="AJ170" s="4">
        <f t="shared" si="49"/>
        <v>0.73644556731137178</v>
      </c>
      <c r="AK170" s="14">
        <f t="shared" si="50"/>
        <v>96130.195891674099</v>
      </c>
      <c r="AL170" s="14">
        <f t="shared" si="51"/>
        <v>-24489.37242132832</v>
      </c>
      <c r="AM170" s="15">
        <f t="shared" si="52"/>
        <v>1.0084204022100034</v>
      </c>
      <c r="AN170" s="15">
        <f t="shared" si="53"/>
        <v>1.0073644556731136</v>
      </c>
    </row>
    <row r="171" spans="1:40" x14ac:dyDescent="0.2">
      <c r="A171">
        <v>159193</v>
      </c>
      <c r="B171">
        <v>1985</v>
      </c>
      <c r="C171">
        <v>294</v>
      </c>
      <c r="D171" t="s">
        <v>40</v>
      </c>
      <c r="E171" t="s">
        <v>41</v>
      </c>
      <c r="F171">
        <v>3413</v>
      </c>
      <c r="G171" s="1">
        <v>353.3</v>
      </c>
      <c r="H171">
        <v>336</v>
      </c>
      <c r="I171" s="2">
        <v>43453</v>
      </c>
      <c r="J171">
        <v>2257</v>
      </c>
      <c r="K171">
        <v>0</v>
      </c>
      <c r="L171" s="1">
        <v>59.3</v>
      </c>
      <c r="M171" s="1">
        <v>907.1</v>
      </c>
      <c r="N171" s="1">
        <v>72.099999999999994</v>
      </c>
      <c r="O171" s="3">
        <v>4.3290000000000004E-3</v>
      </c>
      <c r="P171" s="4">
        <v>1.1140000000000001</v>
      </c>
      <c r="Q171" s="4">
        <v>0.17899999999999999</v>
      </c>
      <c r="R171" s="1">
        <v>309.10000000000002</v>
      </c>
      <c r="S171" s="1">
        <v>297.89999999999998</v>
      </c>
      <c r="T171" s="1">
        <v>120.6</v>
      </c>
      <c r="U171" s="1">
        <v>177.3</v>
      </c>
      <c r="V171" s="1">
        <v>193.5</v>
      </c>
      <c r="W171" s="1">
        <v>230.9</v>
      </c>
      <c r="X171" s="1">
        <v>168.1</v>
      </c>
      <c r="Y171">
        <v>0.28599999999999998</v>
      </c>
      <c r="Z171">
        <v>1.5469999999999999</v>
      </c>
      <c r="AA171" s="4">
        <v>0.22700000000000001</v>
      </c>
      <c r="AB171" s="4">
        <v>0.57399999999999995</v>
      </c>
      <c r="AC171" s="4">
        <v>0.221</v>
      </c>
      <c r="AD171" s="12">
        <v>37968</v>
      </c>
      <c r="AE171" s="1">
        <v>-5329.2084999999997</v>
      </c>
      <c r="AF171" s="16">
        <f t="shared" si="47"/>
        <v>349</v>
      </c>
      <c r="AG171" s="4">
        <f t="shared" si="54"/>
        <v>3.9527465519325231</v>
      </c>
      <c r="AH171" s="5">
        <f t="shared" si="55"/>
        <v>0.49487026530809902</v>
      </c>
      <c r="AI171" s="4">
        <f t="shared" si="48"/>
        <v>0.86933120494887961</v>
      </c>
      <c r="AJ171" s="4">
        <f t="shared" si="49"/>
        <v>0.76201841462700914</v>
      </c>
      <c r="AK171" s="14">
        <f t="shared" si="50"/>
        <v>38298.067671894991</v>
      </c>
      <c r="AL171" s="14">
        <f t="shared" si="51"/>
        <v>-5369.8180501238685</v>
      </c>
      <c r="AM171" s="15">
        <f t="shared" si="52"/>
        <v>1.0086933120494888</v>
      </c>
      <c r="AN171" s="15">
        <f t="shared" si="53"/>
        <v>1.0076201841462702</v>
      </c>
    </row>
    <row r="172" spans="1:40" x14ac:dyDescent="0.2">
      <c r="A172">
        <v>159193</v>
      </c>
      <c r="B172">
        <v>1985</v>
      </c>
      <c r="C172">
        <v>294</v>
      </c>
      <c r="D172" t="s">
        <v>40</v>
      </c>
      <c r="E172" t="s">
        <v>42</v>
      </c>
      <c r="F172">
        <v>3413</v>
      </c>
      <c r="G172" s="1">
        <v>1172.4000000000001</v>
      </c>
      <c r="H172">
        <v>504</v>
      </c>
      <c r="I172" s="2">
        <v>43453</v>
      </c>
      <c r="J172">
        <v>2258</v>
      </c>
      <c r="K172">
        <v>0</v>
      </c>
      <c r="L172" s="1">
        <v>94.6</v>
      </c>
      <c r="M172" s="1">
        <v>782.1</v>
      </c>
      <c r="N172" s="1">
        <v>129.19999999999999</v>
      </c>
      <c r="O172" s="3">
        <v>1.9515999999999999E-2</v>
      </c>
      <c r="P172" s="4">
        <v>1.0509999999999999</v>
      </c>
      <c r="Q172" s="4">
        <v>0.19800000000000001</v>
      </c>
      <c r="R172" s="1">
        <v>243.6</v>
      </c>
      <c r="S172" s="1">
        <v>1086.5</v>
      </c>
      <c r="T172" s="1">
        <v>437.1</v>
      </c>
      <c r="U172" s="1">
        <v>649.4</v>
      </c>
      <c r="V172" s="1">
        <v>198.5</v>
      </c>
      <c r="W172" s="1">
        <v>215.1</v>
      </c>
      <c r="X172" s="1">
        <v>187.2</v>
      </c>
      <c r="Y172">
        <v>0.28899999999999998</v>
      </c>
      <c r="Z172">
        <v>1.6859999999999999</v>
      </c>
      <c r="AA172" s="4">
        <v>0.248</v>
      </c>
      <c r="AB172" s="4">
        <v>0.55800000000000005</v>
      </c>
      <c r="AC172" s="4">
        <v>0.22700000000000001</v>
      </c>
      <c r="AD172" s="12">
        <v>48359.8</v>
      </c>
      <c r="AE172" s="1">
        <v>-12234.49</v>
      </c>
      <c r="AF172" s="16">
        <f t="shared" si="47"/>
        <v>349</v>
      </c>
      <c r="AG172" s="4">
        <f t="shared" si="54"/>
        <v>3.9527465519325231</v>
      </c>
      <c r="AH172" s="5">
        <f t="shared" si="55"/>
        <v>0.49487026530809902</v>
      </c>
      <c r="AI172" s="4">
        <f t="shared" si="48"/>
        <v>0.86933120494887961</v>
      </c>
      <c r="AJ172" s="4">
        <f t="shared" si="49"/>
        <v>0.76201841462700914</v>
      </c>
      <c r="AK172" s="14">
        <f t="shared" si="50"/>
        <v>48780.20683205087</v>
      </c>
      <c r="AL172" s="14">
        <f t="shared" si="51"/>
        <v>-12327.719066735701</v>
      </c>
      <c r="AM172" s="15">
        <f t="shared" si="52"/>
        <v>1.0086933120494888</v>
      </c>
      <c r="AN172" s="15">
        <f t="shared" si="53"/>
        <v>1.0076201841462702</v>
      </c>
    </row>
    <row r="173" spans="1:40" x14ac:dyDescent="0.2">
      <c r="A173">
        <v>159194</v>
      </c>
      <c r="B173">
        <v>1996</v>
      </c>
      <c r="C173">
        <v>295</v>
      </c>
      <c r="D173" t="s">
        <v>40</v>
      </c>
      <c r="E173" t="s">
        <v>41</v>
      </c>
      <c r="F173">
        <v>3413</v>
      </c>
      <c r="G173" s="1">
        <v>378.7</v>
      </c>
      <c r="H173">
        <v>336</v>
      </c>
      <c r="I173" s="2">
        <v>43454</v>
      </c>
      <c r="J173">
        <v>2261</v>
      </c>
      <c r="K173">
        <v>0</v>
      </c>
      <c r="L173" s="1">
        <v>58.7</v>
      </c>
      <c r="M173" s="1">
        <v>829.3</v>
      </c>
      <c r="N173" s="1">
        <v>77</v>
      </c>
      <c r="O173" s="3">
        <v>6.7029999999999998E-3</v>
      </c>
      <c r="P173" s="4">
        <v>0.98499999999999999</v>
      </c>
      <c r="Q173" s="4">
        <v>0.192</v>
      </c>
      <c r="R173" s="1">
        <v>278.3</v>
      </c>
      <c r="S173" s="1">
        <v>325</v>
      </c>
      <c r="T173" s="1">
        <v>131.5</v>
      </c>
      <c r="U173" s="1">
        <v>193.4</v>
      </c>
      <c r="V173" s="1">
        <v>182.3</v>
      </c>
      <c r="W173" s="1">
        <v>228</v>
      </c>
      <c r="X173" s="1">
        <v>151.1</v>
      </c>
      <c r="Y173">
        <v>0.27</v>
      </c>
      <c r="Z173">
        <v>1.5249999999999999</v>
      </c>
      <c r="AA173" s="4">
        <v>0.23</v>
      </c>
      <c r="AB173" s="4">
        <v>0.58299999999999996</v>
      </c>
      <c r="AC173" s="4">
        <v>0.22</v>
      </c>
      <c r="AD173" s="12">
        <v>32433</v>
      </c>
      <c r="AE173" s="1">
        <v>-5082.6904000000004</v>
      </c>
      <c r="AF173" s="16">
        <f t="shared" si="47"/>
        <v>350</v>
      </c>
      <c r="AG173" s="4">
        <f t="shared" si="54"/>
        <v>4.0701940110724948</v>
      </c>
      <c r="AH173" s="5">
        <f t="shared" si="55"/>
        <v>0.50957428300838503</v>
      </c>
      <c r="AI173" s="4">
        <f t="shared" si="48"/>
        <v>0.89743308245713527</v>
      </c>
      <c r="AJ173" s="4">
        <f t="shared" si="49"/>
        <v>0.78835110472556635</v>
      </c>
      <c r="AK173" s="14">
        <f t="shared" si="50"/>
        <v>32724.064471633323</v>
      </c>
      <c r="AL173" s="14">
        <f t="shared" si="51"/>
        <v>-5122.7598459181809</v>
      </c>
      <c r="AM173" s="15">
        <f t="shared" si="52"/>
        <v>1.0089743308245713</v>
      </c>
      <c r="AN173" s="15">
        <f t="shared" si="53"/>
        <v>1.0078835110472557</v>
      </c>
    </row>
    <row r="174" spans="1:40" x14ac:dyDescent="0.2">
      <c r="A174">
        <v>159194</v>
      </c>
      <c r="B174">
        <v>1996</v>
      </c>
      <c r="C174">
        <v>295</v>
      </c>
      <c r="D174" t="s">
        <v>40</v>
      </c>
      <c r="E174" t="s">
        <v>42</v>
      </c>
      <c r="F174">
        <v>3413</v>
      </c>
      <c r="G174" s="1">
        <v>1058.5</v>
      </c>
      <c r="H174">
        <v>501</v>
      </c>
      <c r="I174" s="2">
        <v>43454</v>
      </c>
      <c r="J174">
        <v>2263</v>
      </c>
      <c r="K174">
        <v>0</v>
      </c>
      <c r="L174" s="1">
        <v>74</v>
      </c>
      <c r="M174" s="1">
        <v>771.7</v>
      </c>
      <c r="N174" s="1">
        <v>132.30000000000001</v>
      </c>
      <c r="O174" s="3">
        <v>2.0385E-2</v>
      </c>
      <c r="P174" s="4">
        <v>0.89600000000000002</v>
      </c>
      <c r="Q174" s="4">
        <v>0.19900000000000001</v>
      </c>
      <c r="R174" s="1">
        <v>279</v>
      </c>
      <c r="S174" s="1">
        <v>1120.5</v>
      </c>
      <c r="T174" s="1">
        <v>450.5</v>
      </c>
      <c r="U174" s="1">
        <v>670</v>
      </c>
      <c r="V174" s="1">
        <v>244.4</v>
      </c>
      <c r="W174" s="1">
        <v>252.5</v>
      </c>
      <c r="X174" s="1">
        <v>239</v>
      </c>
      <c r="Y174">
        <v>0.35699999999999998</v>
      </c>
      <c r="Z174">
        <v>1.6890000000000001</v>
      </c>
      <c r="AA174" s="4">
        <v>0.27700000000000002</v>
      </c>
      <c r="AB174" s="4">
        <v>0.53100000000000003</v>
      </c>
      <c r="AC174" s="4">
        <v>0.23</v>
      </c>
      <c r="AD174" s="12">
        <v>55808.3</v>
      </c>
      <c r="AE174" s="1">
        <v>-14734.741</v>
      </c>
      <c r="AF174" s="16">
        <f t="shared" si="47"/>
        <v>350</v>
      </c>
      <c r="AG174" s="4">
        <f t="shared" si="54"/>
        <v>4.0701940110724948</v>
      </c>
      <c r="AH174" s="5">
        <f t="shared" si="55"/>
        <v>0.50957428300838503</v>
      </c>
      <c r="AI174" s="4">
        <f t="shared" si="48"/>
        <v>0.89743308245713527</v>
      </c>
      <c r="AJ174" s="4">
        <f t="shared" si="49"/>
        <v>0.78835110472556635</v>
      </c>
      <c r="AK174" s="14">
        <f t="shared" si="50"/>
        <v>56309.142146956925</v>
      </c>
      <c r="AL174" s="14">
        <f t="shared" si="51"/>
        <v>-14850.902493451951</v>
      </c>
      <c r="AM174" s="15">
        <f t="shared" si="52"/>
        <v>1.0089743308245713</v>
      </c>
      <c r="AN174" s="15">
        <f t="shared" si="53"/>
        <v>1.0078835110472557</v>
      </c>
    </row>
    <row r="175" spans="1:40" x14ac:dyDescent="0.2">
      <c r="A175" t="s">
        <v>46</v>
      </c>
      <c r="B175" s="17">
        <v>43619</v>
      </c>
      <c r="AG175" t="s">
        <v>47</v>
      </c>
      <c r="AI175" s="6">
        <f>AVERAGE(AI3:AI174)</f>
        <v>0.8517400187827403</v>
      </c>
      <c r="AJ175" s="6">
        <f>AVERAGE(AJ3:AJ174)</f>
        <v>0.74553470268844302</v>
      </c>
    </row>
    <row r="176" spans="1:40" x14ac:dyDescent="0.2">
      <c r="AG176" t="s">
        <v>48</v>
      </c>
      <c r="AI176" s="6">
        <f>STDEV(AI3:AI174)</f>
        <v>0.5191361156106441</v>
      </c>
      <c r="AJ176" s="6">
        <f>STDEV(AJ3:AJ174)</f>
        <v>0.48645327869384752</v>
      </c>
    </row>
  </sheetData>
  <pageMargins left="0.78749999999999998" right="0.78749999999999998" top="0.98402777777777795" bottom="0.9840277777777779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129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UPAT_PATS_E6_148_TO_295_ALL_SIT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Schenk, Denis Elia (STUDENTS)</dc:creator>
  <dc:description/>
  <cp:lastModifiedBy>Schenk, Denis Elia (STUDENTS)</cp:lastModifiedBy>
  <cp:revision>7</cp:revision>
  <dcterms:created xsi:type="dcterms:W3CDTF">2019-05-28T08:40:08Z</dcterms:created>
  <dcterms:modified xsi:type="dcterms:W3CDTF">2019-10-18T12:17:41Z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